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28800" windowHeight="1262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<sst xmlns="http://schemas.openxmlformats.org/spreadsheetml/2006/main" count="547" uniqueCount="183">
  <si>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</si>
  <si>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</si>
  <si>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</si>
  <si>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</si>
  <si>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</si>
  <si>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</si>
  <si>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</si>
  <si>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</si>
  <si>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</si>
  <si>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</si>
  <si>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</si>
  <si>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</si>
  <si>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</si>
  <si>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</si>
  <si>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</si>
  <si>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</si>
  <si>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</si>
  <si>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</si>
  <si>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</si>
  <si>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</si>
  <si>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</si>
  <si>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</si>
  <si>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</si>
  <si>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</si>
  <si>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</si>
  <si>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</si>
  <si>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</si>
  <si>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</si>
  <si>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</si>
  <si>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</si>
  <si>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</si>
  <si>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</si>
  <si>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</si>
  <si>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</si>
  <si>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</si>
  <si>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</si>
  <si>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</si>
  <si>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</si>
  <si>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</si>
  <si>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</si>
  <si>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</si>
  <si>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</si>
  <si>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</si>
  <si>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</si>
  <si>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</si>
  <si>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</si>
  <si>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</si>
  <si>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</si>
  <si>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</si>
  <si>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</si>
  <si>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</si>
  <si>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</si>
  <si>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</si>
  <si>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</si>
  <si>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</si>
  <si>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</si>
  <si>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</si>
  <si>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</si>
  <si>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</si>
  <si>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</si>
  <si>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</si>
  <si>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</si>
  <si>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</si>
  <si>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</si>
  <si>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</si>
  <si>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</si>
  <si>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</si>
  <si>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</si>
  <si>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</si>
  <si>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</si>
  <si>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</si>
  <si>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</si>
  <si>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</si>
  <si>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</si>
  <si>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</si>
  <si>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</si>
  <si>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</si>
  <si>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</si>
  <si>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</si>
  <si>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</si>
  <si>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</si>
  <si>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</si>
  <si>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</si>
  <si>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</si>
  <si>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</si>
  <si>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</si>
  <si>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</si>
  <si>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</si>
  <si>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sum(H:H , "&gt; 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</si>
  <si>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</si>
  <si>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</si>
  <si>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</si>
  <si>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</si>
  <si>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</si>
  <si>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</si>
  <si>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</si>
  <si>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</si>
  <si>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</si>
  <si>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</si>
  <si>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 xml:space="preserve">I have just used Text to Columns function </t>
  </si>
  <si>
    <t>Explanation:</t>
  </si>
  <si>
    <t>I have copied the values column and past in another cell and i add 4 column after the value column  i used Text to column functio to split the value given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</si>
  <si>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</si>
  <si>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</si>
  <si>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</si>
  <si>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</si>
  <si>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</si>
  <si>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</si>
  <si>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</si>
  <si>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</si>
  <si>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</si>
  <si>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</si>
  <si>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</si>
  <si>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</si>
  <si>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</si>
  <si>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</si>
  <si>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</si>
  <si>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</si>
  <si>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</si>
  <si>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</si>
  <si>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</si>
  <si>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</si>
  <si>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</si>
  <si>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</si>
  <si>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</si>
  <si>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</si>
  <si>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</si>
  <si>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</si>
  <si>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</si>
  <si>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</si>
  <si>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</si>
  <si>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</si>
  <si>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</si>
  <si>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</si>
  <si>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</si>
  <si>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</si>
  <si>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</si>
  <si>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</si>
  <si>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</si>
  <si>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</si>
  <si>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</si>
  <si>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</si>
  <si>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</si>
  <si>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</si>
  <si>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</si>
  <si>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</si>
  <si>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</si>
  <si>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</si>
  <si>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</si>
  <si>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</si>
  <si>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</si>
  <si>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 xml:space="preserve">SUM(IFERROR(A:A, 20))
</t>
  </si>
  <si>
    <t>SUM(C:C)</t>
  </si>
  <si>
    <t>If the error occur like NA is will automaic 20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</si>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</sst>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>
  <numFmts count="6">
    <numFmt numFmtId="176" formatCode="yyyy\-mm\-dd;@"/>
    <numFmt numFmtId="44" formatCode="_-&quot;£&quot;* #,##0.00_-;\-&quot;£&quot;* #,##0.00_-;_-&quot;£&quot;* &quot;-&quot;??_-;_-@_-"/>
    <numFmt numFmtId="41" formatCode="_-* #,##0_-;\-* #,##0_-;_-* &quot;-&quot;_-;_-@_-"/>
    <numFmt numFmtId="177" formatCode="hh:mm:ss;@"/>
    <numFmt numFmtId="42" formatCode="_-&quot;£&quot;* #,##0_-;\-&quot;£&quot;* #,##0_-;_-&quot;£&quot;* &quot;-&quot;_-;_-@_-"/>
    <numFmt numFmtId="43" formatCode="_-* #,##0.00_-;\-* #,##0.00_-;_-* &quot;-&quot;??_-;_-@_-"/>
  </numFmts>
  <fonts count="37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0"/>
      <name val="Times New Roman"/>
      <charset val="204"/>
    </font>
    <font>
      <i/>
      <sz val="11"/>
      <color rgb="FF7F7F7F"/>
      <name val="Calibri"/>
      <charset val="0"/>
      <scheme val="minor"/>
    </font>
    <font>
      <sz val="11"/>
      <color rgb="FFFA7D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0"/>
      <color rgb="FF000000"/>
      <name val="Times New Roman"/>
      <charset val="134"/>
    </font>
  </fonts>
  <fills count="3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9">
    <xf numFmtId="0" fontId="0" fillId="0" borderId="0"/>
    <xf numFmtId="0" fontId="20" fillId="0" borderId="0"/>
    <xf numFmtId="0" fontId="36" fillId="0" borderId="0"/>
    <xf numFmtId="0" fontId="20" fillId="0" borderId="0"/>
    <xf numFmtId="0" fontId="20" fillId="0" borderId="0"/>
    <xf numFmtId="0" fontId="20" fillId="0" borderId="0"/>
    <xf numFmtId="0" fontId="23" fillId="25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30" fillId="0" borderId="0">
      <alignment vertical="top" wrapText="1"/>
    </xf>
    <xf numFmtId="0" fontId="25" fillId="23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0" fillId="0" borderId="0"/>
    <xf numFmtId="0" fontId="25" fillId="18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0" fillId="0" borderId="0"/>
    <xf numFmtId="0" fontId="25" fillId="13" borderId="0" applyNumberFormat="0" applyBorder="0" applyAlignment="0" applyProtection="0">
      <alignment vertical="center"/>
    </xf>
    <xf numFmtId="0" fontId="20" fillId="0" borderId="0"/>
    <xf numFmtId="0" fontId="23" fillId="14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27" fillId="16" borderId="13" applyNumberFormat="0" applyAlignment="0" applyProtection="0">
      <alignment vertical="center"/>
    </xf>
    <xf numFmtId="0" fontId="20" fillId="0" borderId="0"/>
    <xf numFmtId="44" fontId="15" fillId="0" borderId="0" applyFont="0" applyFill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15" fillId="7" borderId="12" applyNumberFormat="0" applyFont="0" applyAlignment="0" applyProtection="0">
      <alignment vertical="center"/>
    </xf>
    <xf numFmtId="0" fontId="34" fillId="29" borderId="17" applyNumberForma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5" fillId="16" borderId="17" applyNumberFormat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43" fontId="15" fillId="0" borderId="0" applyFont="0" applyFill="0" applyBorder="0" applyAlignment="0" applyProtection="0">
      <alignment vertical="center"/>
    </xf>
    <xf numFmtId="0" fontId="14" fillId="6" borderId="10" applyNumberFormat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48">
    <xf numFmtId="0" fontId="0" fillId="0" borderId="0" xfId="0"/>
    <xf numFmtId="0" fontId="1" fillId="0" borderId="0" xfId="0" applyFont="1"/>
    <xf numFmtId="0" fontId="2" fillId="2" borderId="0" xfId="5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5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6" fillId="0" borderId="1" xfId="0" applyFont="1" applyBorder="1"/>
    <xf numFmtId="0" fontId="9" fillId="0" borderId="0" xfId="0" applyFont="1"/>
    <xf numFmtId="0" fontId="1" fillId="0" borderId="0" xfId="0" applyFont="1" applyAlignment="1">
      <alignment wrapText="1"/>
    </xf>
    <xf numFmtId="176" fontId="4" fillId="0" borderId="1" xfId="0" applyNumberFormat="1" applyFont="1" applyBorder="1"/>
    <xf numFmtId="0" fontId="4" fillId="0" borderId="1" xfId="0" applyFont="1" applyBorder="1" applyAlignment="1">
      <alignment wrapText="1"/>
    </xf>
    <xf numFmtId="0" fontId="1" fillId="0" borderId="1" xfId="0" applyNumberFormat="1" applyFont="1" applyBorder="1" applyAlignment="1">
      <alignment wrapText="1"/>
    </xf>
    <xf numFmtId="0" fontId="6" fillId="0" borderId="1" xfId="0" applyFont="1" applyBorder="1" applyAlignment="1">
      <alignment vertical="center"/>
    </xf>
    <xf numFmtId="0" fontId="4" fillId="0" borderId="8" xfId="0" applyFont="1" applyBorder="1"/>
    <xf numFmtId="0" fontId="6" fillId="0" borderId="2" xfId="0" applyFont="1" applyBorder="1"/>
    <xf numFmtId="0" fontId="6" fillId="3" borderId="1" xfId="0" applyFont="1" applyFill="1" applyBorder="1"/>
    <xf numFmtId="0" fontId="6" fillId="4" borderId="1" xfId="0" applyFont="1" applyFill="1" applyBorder="1"/>
    <xf numFmtId="0" fontId="4" fillId="5" borderId="1" xfId="0" applyFont="1" applyFill="1" applyBorder="1"/>
    <xf numFmtId="0" fontId="6" fillId="3" borderId="3" xfId="0" applyFont="1" applyFill="1" applyBorder="1"/>
    <xf numFmtId="0" fontId="4" fillId="0" borderId="9" xfId="0" applyFont="1" applyBorder="1"/>
    <xf numFmtId="0" fontId="10" fillId="2" borderId="0" xfId="0" applyFont="1" applyFill="1"/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0" fontId="12" fillId="0" borderId="0" xfId="0" applyFont="1"/>
    <xf numFmtId="177" fontId="12" fillId="0" borderId="0" xfId="0" applyNumberFormat="1" applyFont="1"/>
    <xf numFmtId="177" fontId="4" fillId="0" borderId="0" xfId="0" applyNumberFormat="1" applyFont="1"/>
    <xf numFmtId="0" fontId="6" fillId="3" borderId="0" xfId="0" applyFont="1" applyFill="1"/>
    <xf numFmtId="0" fontId="6" fillId="4" borderId="0" xfId="0" applyFont="1" applyFill="1"/>
    <xf numFmtId="58" fontId="4" fillId="0" borderId="0" xfId="0" applyNumberFormat="1" applyFont="1"/>
    <xf numFmtId="176" fontId="4" fillId="0" borderId="0" xfId="0" applyNumberFormat="1" applyFont="1"/>
    <xf numFmtId="176" fontId="6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</cellXfs>
  <cellStyles count="59">
    <cellStyle name="Normal" xfId="0" builtinId="0"/>
    <cellStyle name="Normal 5 3" xfId="1"/>
    <cellStyle name="Normal 5 2" xfId="2"/>
    <cellStyle name="Normal 2 3" xfId="3"/>
    <cellStyle name="Normal 2 2" xfId="4"/>
    <cellStyle name="Normal 2" xfId="5"/>
    <cellStyle name="60% - Accent6" xfId="6" builtinId="52"/>
    <cellStyle name="40% - Accent6" xfId="7" builtinId="51"/>
    <cellStyle name="60% - Accent5" xfId="8" builtinId="48"/>
    <cellStyle name="Accent6" xfId="9" builtinId="49"/>
    <cellStyle name="40% - Accent5" xfId="10" builtinId="47"/>
    <cellStyle name="Normal 7" xfId="11"/>
    <cellStyle name="20% - Accent5" xfId="12" builtinId="46"/>
    <cellStyle name="60% - Accent4" xfId="13" builtinId="44"/>
    <cellStyle name="Accent5" xfId="14" builtinId="45"/>
    <cellStyle name="40% - Accent4" xfId="15" builtinId="43"/>
    <cellStyle name="Accent4" xfId="16" builtinId="41"/>
    <cellStyle name="Linked Cell" xfId="17" builtinId="24"/>
    <cellStyle name="40% - Accent3" xfId="18" builtinId="39"/>
    <cellStyle name="60% - Accent2" xfId="19" builtinId="36"/>
    <cellStyle name="Accent3" xfId="20" builtinId="37"/>
    <cellStyle name="40% - Accent2" xfId="21" builtinId="35"/>
    <cellStyle name="Normal 4" xfId="22"/>
    <cellStyle name="20% - Accent2" xfId="23" builtinId="34"/>
    <cellStyle name="Accent2" xfId="24" builtinId="33"/>
    <cellStyle name="40% - Accent1" xfId="25" builtinId="31"/>
    <cellStyle name="Normal 3" xfId="26"/>
    <cellStyle name="20% - Accent1" xfId="27" builtinId="30"/>
    <cellStyle name="Normal 3 2" xfId="28"/>
    <cellStyle name="Accent1" xfId="29" builtinId="29"/>
    <cellStyle name="Neutral" xfId="30" builtinId="28"/>
    <cellStyle name="60% - Accent1" xfId="31" builtinId="32"/>
    <cellStyle name="Bad" xfId="32" builtinId="27"/>
    <cellStyle name="20% - Accent4" xfId="33" builtinId="42"/>
    <cellStyle name="Total" xfId="34" builtinId="25"/>
    <cellStyle name="Output" xfId="35" builtinId="21"/>
    <cellStyle name="Normal 5" xfId="36"/>
    <cellStyle name="Currency" xfId="37" builtinId="4"/>
    <cellStyle name="20% - Accent3" xfId="38" builtinId="38"/>
    <cellStyle name="Note" xfId="39" builtinId="10"/>
    <cellStyle name="Input" xfId="40" builtinId="20"/>
    <cellStyle name="Heading 4" xfId="41" builtinId="19"/>
    <cellStyle name="Calculation" xfId="42" builtinId="22"/>
    <cellStyle name="Good" xfId="43" builtinId="26"/>
    <cellStyle name="Heading 3" xfId="44" builtinId="18"/>
    <cellStyle name="CExplanatory Text" xfId="45" builtinId="53"/>
    <cellStyle name="Heading 1" xfId="46" builtinId="16"/>
    <cellStyle name="Comma [0]" xfId="47" builtinId="6"/>
    <cellStyle name="20% - Accent6" xfId="48" builtinId="50"/>
    <cellStyle name="Title" xfId="49" builtinId="15"/>
    <cellStyle name="Currency [0]" xfId="50" builtinId="7"/>
    <cellStyle name="Warning Text" xfId="51" builtinId="11"/>
    <cellStyle name="Followed Hyperlink" xfId="52" builtinId="9"/>
    <cellStyle name="Heading 2" xfId="53" builtinId="17"/>
    <cellStyle name="Comma" xfId="54" builtinId="3"/>
    <cellStyle name="Check Cell" xfId="55" builtinId="23"/>
    <cellStyle name="60% - Accent3" xfId="56" builtinId="40"/>
    <cellStyle name="Percent" xfId="57" builtinId="5"/>
    <cellStyle name="Hyperlink" xfId="58" builtinId="8"/>
  </cellStyles>
  <dxfs count="5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9"/>
        </patternFill>
      </fill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workbookViewId="0">
      <selection activeCell="A1" sqref="A1"/>
    </sheetView>
  </sheetViews>
  <sheetFormatPr defaultColWidth="11" defaultRowHeight="12.4" outlineLevelCol="2"/>
  <cols>
    <col min="1" max="1" width="70.7980769230769" style="1" customWidth="1"/>
    <col min="2" max="16384" width="11" style="1"/>
  </cols>
  <sheetData>
    <row r="1" ht="17.6" spans="1:1">
      <c r="A1" s="43" t="s">
        <v>0</v>
      </c>
    </row>
    <row r="2" spans="1:1">
      <c r="A2" s="1" t="s">
        <v>1</v>
      </c>
    </row>
    <row r="3" spans="1:1">
      <c r="A3" s="1" t="s">
        <v>2</v>
      </c>
    </row>
    <row r="4" ht="14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44" t="s">
        <v>6</v>
      </c>
      <c r="B9" s="8" t="s">
        <v>7</v>
      </c>
    </row>
    <row r="10" spans="1:2">
      <c r="A10" s="45" t="s">
        <v>8</v>
      </c>
      <c r="B10" s="46">
        <v>25</v>
      </c>
    </row>
    <row r="11" spans="1:2">
      <c r="A11" s="45" t="s">
        <v>9</v>
      </c>
      <c r="B11" s="46">
        <v>30</v>
      </c>
    </row>
    <row r="12" spans="1:2">
      <c r="A12" s="45" t="s">
        <v>10</v>
      </c>
      <c r="B12" s="46">
        <v>10</v>
      </c>
    </row>
    <row r="13" spans="1:2">
      <c r="A13" s="45" t="s">
        <v>11</v>
      </c>
      <c r="B13" s="46">
        <v>20</v>
      </c>
    </row>
    <row r="14" spans="1:2">
      <c r="A14" s="45" t="s">
        <v>12</v>
      </c>
      <c r="B14" s="46">
        <v>40</v>
      </c>
    </row>
    <row r="15" spans="1:2">
      <c r="A15" s="47" t="s">
        <v>13</v>
      </c>
      <c r="B15" s="9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0"/>
  <sheetViews>
    <sheetView zoomScale="89" zoomScaleNormal="89" topLeftCell="J1" workbookViewId="0">
      <pane ySplit="1" topLeftCell="A2" activePane="bottomLeft" state="frozen"/>
      <selection/>
      <selection pane="bottomLeft" activeCell="G3" sqref="G3:V3"/>
    </sheetView>
  </sheetViews>
  <sheetFormatPr defaultColWidth="9" defaultRowHeight="14"/>
  <cols>
    <col min="1" max="1" width="25.3942307692308" style="4" customWidth="1"/>
    <col min="2" max="2" width="7.39423076923077" style="4" customWidth="1"/>
    <col min="3" max="3" width="9.79807692307692" style="4" customWidth="1"/>
    <col min="4" max="4" width="11" style="37" customWidth="1"/>
    <col min="5" max="5" width="9.20192307692308" style="4" customWidth="1"/>
    <col min="6" max="6" width="10.3942307692308" style="37" customWidth="1"/>
    <col min="7" max="9" width="12.7980769230769" style="4" customWidth="1"/>
    <col min="10" max="12" width="13" style="4" customWidth="1"/>
    <col min="13" max="15" width="14.2019230769231" style="4" customWidth="1"/>
    <col min="16" max="18" width="14.3942307692308" style="4" customWidth="1"/>
    <col min="19" max="20" width="18.7980769230769" style="4" customWidth="1"/>
    <col min="21" max="23" width="19" style="4" customWidth="1"/>
    <col min="24" max="24" width="12.5961538461538" style="41" customWidth="1"/>
    <col min="25" max="16383" width="9" style="4"/>
  </cols>
  <sheetData>
    <row r="1" s="6" customFormat="1" ht="14.75" customHeight="1" spans="1:24">
      <c r="A1" s="35" t="s">
        <v>14</v>
      </c>
      <c r="B1" s="35" t="s">
        <v>15</v>
      </c>
      <c r="C1" s="35" t="s">
        <v>16</v>
      </c>
      <c r="D1" s="36" t="s">
        <v>17</v>
      </c>
      <c r="E1" s="35" t="s">
        <v>18</v>
      </c>
      <c r="F1" s="36" t="s">
        <v>19</v>
      </c>
      <c r="G1" s="38" t="s">
        <v>20</v>
      </c>
      <c r="H1" s="38" t="s">
        <v>21</v>
      </c>
      <c r="I1" s="38" t="s">
        <v>22</v>
      </c>
      <c r="J1" s="39" t="s">
        <v>23</v>
      </c>
      <c r="K1" s="39" t="s">
        <v>24</v>
      </c>
      <c r="L1" s="39" t="s">
        <v>25</v>
      </c>
      <c r="M1" s="38" t="s">
        <v>26</v>
      </c>
      <c r="N1" s="38" t="s">
        <v>27</v>
      </c>
      <c r="O1" s="38" t="s">
        <v>28</v>
      </c>
      <c r="P1" s="39" t="s">
        <v>29</v>
      </c>
      <c r="Q1" s="39" t="s">
        <v>30</v>
      </c>
      <c r="R1" s="39" t="s">
        <v>31</v>
      </c>
      <c r="S1" s="38" t="s">
        <v>32</v>
      </c>
      <c r="T1" s="38" t="s">
        <v>33</v>
      </c>
      <c r="U1" s="39" t="s">
        <v>34</v>
      </c>
      <c r="V1" s="39" t="s">
        <v>35</v>
      </c>
      <c r="W1" s="39" t="s">
        <v>36</v>
      </c>
      <c r="X1" s="42" t="s">
        <v>37</v>
      </c>
    </row>
    <row r="2" spans="1:24">
      <c r="A2" s="4" t="s">
        <v>38</v>
      </c>
      <c r="B2" s="4">
        <v>20000</v>
      </c>
      <c r="C2" s="4" t="s">
        <v>39</v>
      </c>
      <c r="D2" s="37">
        <v>0</v>
      </c>
      <c r="E2" s="4" t="s">
        <v>40</v>
      </c>
      <c r="F2" s="37">
        <v>0.999988425925926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41">
        <v>45051</v>
      </c>
    </row>
    <row r="3" spans="1:24">
      <c r="A3" s="4" t="s">
        <v>41</v>
      </c>
      <c r="B3" s="4">
        <v>20002</v>
      </c>
      <c r="C3" s="4" t="s">
        <v>39</v>
      </c>
      <c r="D3" s="37">
        <v>0</v>
      </c>
      <c r="E3" s="4" t="s">
        <v>40</v>
      </c>
      <c r="F3" s="37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41">
        <v>45048</v>
      </c>
    </row>
    <row r="4" spans="1:24">
      <c r="A4" s="4" t="s">
        <v>42</v>
      </c>
      <c r="B4" s="4">
        <v>20004</v>
      </c>
      <c r="C4" s="4" t="s">
        <v>39</v>
      </c>
      <c r="D4" s="37">
        <v>0</v>
      </c>
      <c r="E4" s="4" t="s">
        <v>40</v>
      </c>
      <c r="F4" s="37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41">
        <v>45055</v>
      </c>
    </row>
    <row r="5" spans="1:24">
      <c r="A5" s="4" t="s">
        <v>43</v>
      </c>
      <c r="B5" s="4">
        <v>20006</v>
      </c>
      <c r="C5" s="4" t="s">
        <v>39</v>
      </c>
      <c r="D5" s="37">
        <v>0</v>
      </c>
      <c r="E5" s="4" t="s">
        <v>40</v>
      </c>
      <c r="F5" s="37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41">
        <v>45059</v>
      </c>
    </row>
    <row r="6" spans="1:24">
      <c r="A6" s="4" t="s">
        <v>44</v>
      </c>
      <c r="B6" s="4">
        <v>20008</v>
      </c>
      <c r="C6" s="4" t="s">
        <v>39</v>
      </c>
      <c r="D6" s="37">
        <v>0</v>
      </c>
      <c r="E6" s="4" t="s">
        <v>40</v>
      </c>
      <c r="F6" s="37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41">
        <v>45076</v>
      </c>
    </row>
    <row r="7" spans="1:24">
      <c r="A7" s="4" t="s">
        <v>45</v>
      </c>
      <c r="B7" s="4">
        <v>20010</v>
      </c>
      <c r="C7" s="4" t="s">
        <v>39</v>
      </c>
      <c r="D7" s="37">
        <v>0</v>
      </c>
      <c r="E7" s="4" t="s">
        <v>40</v>
      </c>
      <c r="F7" s="37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41">
        <v>45057</v>
      </c>
    </row>
    <row r="8" spans="1:24">
      <c r="A8" s="4" t="s">
        <v>46</v>
      </c>
      <c r="B8" s="4">
        <v>20012</v>
      </c>
      <c r="C8" s="4" t="s">
        <v>39</v>
      </c>
      <c r="D8" s="37">
        <v>0</v>
      </c>
      <c r="E8" s="4" t="s">
        <v>40</v>
      </c>
      <c r="F8" s="37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41">
        <v>45052</v>
      </c>
    </row>
    <row r="9" spans="1:24">
      <c r="A9" s="4" t="s">
        <v>47</v>
      </c>
      <c r="B9" s="4">
        <v>20014</v>
      </c>
      <c r="C9" s="4" t="s">
        <v>39</v>
      </c>
      <c r="D9" s="37">
        <v>0</v>
      </c>
      <c r="E9" s="4" t="s">
        <v>40</v>
      </c>
      <c r="F9" s="37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41">
        <v>45098</v>
      </c>
    </row>
    <row r="10" spans="1:24">
      <c r="A10" s="4" t="s">
        <v>48</v>
      </c>
      <c r="B10" s="4">
        <v>20016</v>
      </c>
      <c r="C10" s="4" t="s">
        <v>39</v>
      </c>
      <c r="D10" s="37">
        <v>0</v>
      </c>
      <c r="E10" s="4" t="s">
        <v>40</v>
      </c>
      <c r="F10" s="37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41">
        <v>45092</v>
      </c>
    </row>
    <row r="11" spans="1:24">
      <c r="A11" s="4" t="s">
        <v>49</v>
      </c>
      <c r="B11" s="4">
        <v>20018</v>
      </c>
      <c r="C11" s="4" t="s">
        <v>39</v>
      </c>
      <c r="D11" s="37">
        <v>0</v>
      </c>
      <c r="E11" s="4" t="s">
        <v>40</v>
      </c>
      <c r="F11" s="37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41">
        <v>45104</v>
      </c>
    </row>
    <row r="12" spans="1:24">
      <c r="A12" s="4" t="s">
        <v>50</v>
      </c>
      <c r="B12" s="4">
        <v>20020</v>
      </c>
      <c r="C12" s="4" t="s">
        <v>39</v>
      </c>
      <c r="D12" s="37">
        <v>0</v>
      </c>
      <c r="E12" s="4" t="s">
        <v>40</v>
      </c>
      <c r="F12" s="37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1">
        <v>45116</v>
      </c>
    </row>
    <row r="13" spans="1:24">
      <c r="A13" s="4" t="s">
        <v>51</v>
      </c>
      <c r="B13" s="4">
        <v>20022</v>
      </c>
      <c r="C13" s="4" t="s">
        <v>39</v>
      </c>
      <c r="D13" s="37">
        <v>0</v>
      </c>
      <c r="E13" s="4" t="s">
        <v>40</v>
      </c>
      <c r="F13" s="37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41">
        <v>45110</v>
      </c>
    </row>
    <row r="14" spans="1:24">
      <c r="A14" s="4" t="s">
        <v>52</v>
      </c>
      <c r="B14" s="4">
        <v>20024</v>
      </c>
      <c r="C14" s="4" t="s">
        <v>39</v>
      </c>
      <c r="D14" s="37">
        <v>0</v>
      </c>
      <c r="E14" s="4" t="s">
        <v>40</v>
      </c>
      <c r="F14" s="37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41">
        <v>45095</v>
      </c>
    </row>
    <row r="15" spans="1:24">
      <c r="A15" s="4" t="s">
        <v>53</v>
      </c>
      <c r="B15" s="4">
        <v>20026</v>
      </c>
      <c r="C15" s="4" t="s">
        <v>39</v>
      </c>
      <c r="D15" s="37">
        <v>0</v>
      </c>
      <c r="E15" s="4" t="s">
        <v>40</v>
      </c>
      <c r="F15" s="37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41">
        <v>45113</v>
      </c>
    </row>
    <row r="16" spans="1:24">
      <c r="A16" s="4" t="s">
        <v>54</v>
      </c>
      <c r="B16" s="4">
        <v>20028</v>
      </c>
      <c r="C16" s="4" t="s">
        <v>39</v>
      </c>
      <c r="D16" s="37">
        <v>0</v>
      </c>
      <c r="E16" s="4" t="s">
        <v>40</v>
      </c>
      <c r="F16" s="37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41">
        <v>45063</v>
      </c>
    </row>
    <row r="17" spans="1:24">
      <c r="A17" s="4" t="s">
        <v>55</v>
      </c>
      <c r="B17" s="4">
        <v>20030</v>
      </c>
      <c r="C17" s="4" t="s">
        <v>39</v>
      </c>
      <c r="D17" s="37">
        <v>0</v>
      </c>
      <c r="E17" s="4" t="s">
        <v>40</v>
      </c>
      <c r="F17" s="37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41">
        <v>45071</v>
      </c>
    </row>
    <row r="18" spans="1:24">
      <c r="A18" s="4" t="s">
        <v>56</v>
      </c>
      <c r="B18" s="4">
        <v>20032</v>
      </c>
      <c r="C18" s="4" t="s">
        <v>39</v>
      </c>
      <c r="D18" s="37">
        <v>0</v>
      </c>
      <c r="E18" s="4" t="s">
        <v>40</v>
      </c>
      <c r="F18" s="37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41">
        <v>45085</v>
      </c>
    </row>
    <row r="19" spans="1:24">
      <c r="A19" s="4" t="s">
        <v>57</v>
      </c>
      <c r="B19" s="4">
        <v>20034</v>
      </c>
      <c r="C19" s="4" t="s">
        <v>39</v>
      </c>
      <c r="D19" s="37">
        <v>0</v>
      </c>
      <c r="E19" s="4" t="s">
        <v>40</v>
      </c>
      <c r="F19" s="37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41">
        <v>45099</v>
      </c>
    </row>
    <row r="20" spans="1:24">
      <c r="A20" s="4" t="s">
        <v>58</v>
      </c>
      <c r="B20" s="4">
        <v>20036</v>
      </c>
      <c r="C20" s="4" t="s">
        <v>39</v>
      </c>
      <c r="D20" s="37">
        <v>0</v>
      </c>
      <c r="E20" s="4" t="s">
        <v>40</v>
      </c>
      <c r="F20" s="37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41">
        <v>45091</v>
      </c>
    </row>
    <row r="21" spans="1:24">
      <c r="A21" s="4" t="s">
        <v>59</v>
      </c>
      <c r="B21" s="4">
        <v>20038</v>
      </c>
      <c r="C21" s="4" t="s">
        <v>39</v>
      </c>
      <c r="D21" s="37">
        <v>0</v>
      </c>
      <c r="E21" s="4" t="s">
        <v>40</v>
      </c>
      <c r="F21" s="37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41">
        <v>45079</v>
      </c>
    </row>
    <row r="22" spans="1:24">
      <c r="A22" s="4" t="s">
        <v>60</v>
      </c>
      <c r="B22" s="4">
        <v>20040</v>
      </c>
      <c r="C22" s="4" t="s">
        <v>39</v>
      </c>
      <c r="D22" s="37">
        <v>0</v>
      </c>
      <c r="E22" s="4" t="s">
        <v>40</v>
      </c>
      <c r="F22" s="37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41">
        <v>45075</v>
      </c>
    </row>
    <row r="23" spans="1:24">
      <c r="A23" s="4" t="s">
        <v>61</v>
      </c>
      <c r="B23" s="4">
        <v>20042</v>
      </c>
      <c r="C23" s="4" t="s">
        <v>39</v>
      </c>
      <c r="D23" s="37">
        <v>0</v>
      </c>
      <c r="E23" s="4" t="s">
        <v>40</v>
      </c>
      <c r="F23" s="37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41">
        <v>45110</v>
      </c>
    </row>
    <row r="24" spans="1:24">
      <c r="A24" s="4" t="s">
        <v>62</v>
      </c>
      <c r="B24" s="4">
        <v>20044</v>
      </c>
      <c r="C24" s="4" t="s">
        <v>39</v>
      </c>
      <c r="D24" s="37">
        <v>0</v>
      </c>
      <c r="E24" s="4" t="s">
        <v>40</v>
      </c>
      <c r="F24" s="37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41">
        <v>45114</v>
      </c>
    </row>
    <row r="25" spans="1:24">
      <c r="A25" s="4" t="s">
        <v>63</v>
      </c>
      <c r="B25" s="4">
        <v>20046</v>
      </c>
      <c r="C25" s="4" t="s">
        <v>39</v>
      </c>
      <c r="D25" s="37">
        <v>0</v>
      </c>
      <c r="E25" s="4" t="s">
        <v>40</v>
      </c>
      <c r="F25" s="37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41">
        <v>45118</v>
      </c>
    </row>
    <row r="26" spans="1:24">
      <c r="A26" s="4" t="s">
        <v>64</v>
      </c>
      <c r="B26" s="4">
        <v>20048</v>
      </c>
      <c r="C26" s="4" t="s">
        <v>39</v>
      </c>
      <c r="D26" s="37">
        <v>0</v>
      </c>
      <c r="E26" s="4" t="s">
        <v>40</v>
      </c>
      <c r="F26" s="37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1">
        <v>45142</v>
      </c>
    </row>
    <row r="27" spans="1:24">
      <c r="A27" s="4" t="s">
        <v>65</v>
      </c>
      <c r="B27" s="4">
        <v>20050</v>
      </c>
      <c r="C27" s="4" t="s">
        <v>39</v>
      </c>
      <c r="D27" s="37">
        <v>0</v>
      </c>
      <c r="E27" s="4" t="s">
        <v>40</v>
      </c>
      <c r="F27" s="37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41">
        <v>45146</v>
      </c>
    </row>
    <row r="28" spans="1:24">
      <c r="A28" s="4" t="s">
        <v>66</v>
      </c>
      <c r="B28" s="4">
        <v>20052</v>
      </c>
      <c r="C28" s="4" t="s">
        <v>39</v>
      </c>
      <c r="D28" s="37">
        <v>0</v>
      </c>
      <c r="E28" s="4" t="s">
        <v>40</v>
      </c>
      <c r="F28" s="37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41">
        <v>45108</v>
      </c>
    </row>
    <row r="29" spans="1:24">
      <c r="A29" s="4" t="s">
        <v>67</v>
      </c>
      <c r="B29" s="4">
        <v>20054</v>
      </c>
      <c r="C29" s="4" t="s">
        <v>39</v>
      </c>
      <c r="D29" s="37">
        <v>0</v>
      </c>
      <c r="E29" s="4" t="s">
        <v>40</v>
      </c>
      <c r="F29" s="37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41">
        <v>45153</v>
      </c>
    </row>
    <row r="30" spans="1:24">
      <c r="A30" s="4" t="s">
        <v>68</v>
      </c>
      <c r="B30" s="4">
        <v>20058</v>
      </c>
      <c r="C30" s="4" t="s">
        <v>39</v>
      </c>
      <c r="D30" s="37">
        <v>0</v>
      </c>
      <c r="E30" s="4" t="s">
        <v>40</v>
      </c>
      <c r="F30" s="37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41">
        <v>45150</v>
      </c>
    </row>
    <row r="31" spans="1:24">
      <c r="A31" s="4" t="s">
        <v>69</v>
      </c>
      <c r="B31" s="4">
        <v>20060</v>
      </c>
      <c r="C31" s="4" t="s">
        <v>39</v>
      </c>
      <c r="D31" s="37">
        <v>0</v>
      </c>
      <c r="E31" s="4" t="s">
        <v>40</v>
      </c>
      <c r="F31" s="37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41">
        <v>45157</v>
      </c>
    </row>
    <row r="32" spans="1:24">
      <c r="A32" s="4" t="s">
        <v>70</v>
      </c>
      <c r="B32" s="4">
        <v>21000</v>
      </c>
      <c r="C32" s="4" t="s">
        <v>39</v>
      </c>
      <c r="D32" s="37">
        <v>0</v>
      </c>
      <c r="E32" s="4" t="s">
        <v>40</v>
      </c>
      <c r="F32" s="37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41">
        <v>45143</v>
      </c>
    </row>
    <row r="33" spans="1:24">
      <c r="A33" s="4" t="s">
        <v>71</v>
      </c>
      <c r="B33" s="4">
        <v>21002</v>
      </c>
      <c r="C33" s="4" t="s">
        <v>39</v>
      </c>
      <c r="D33" s="37">
        <v>0</v>
      </c>
      <c r="E33" s="4" t="s">
        <v>40</v>
      </c>
      <c r="F33" s="37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41">
        <v>45166</v>
      </c>
    </row>
    <row r="34" spans="1:24">
      <c r="A34" s="4" t="s">
        <v>72</v>
      </c>
      <c r="B34" s="4">
        <v>21004</v>
      </c>
      <c r="C34" s="4" t="s">
        <v>39</v>
      </c>
      <c r="D34" s="37">
        <v>0</v>
      </c>
      <c r="E34" s="4" t="s">
        <v>40</v>
      </c>
      <c r="F34" s="37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41">
        <v>45162</v>
      </c>
    </row>
    <row r="35" spans="1:24">
      <c r="A35" s="4" t="s">
        <v>73</v>
      </c>
      <c r="B35" s="4">
        <v>21006</v>
      </c>
      <c r="C35" s="4" t="s">
        <v>39</v>
      </c>
      <c r="D35" s="37">
        <v>0</v>
      </c>
      <c r="E35" s="4" t="s">
        <v>40</v>
      </c>
      <c r="F35" s="37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41">
        <v>45160</v>
      </c>
    </row>
    <row r="36" spans="1:24">
      <c r="A36" s="4" t="s">
        <v>74</v>
      </c>
      <c r="B36" s="4">
        <v>21008</v>
      </c>
      <c r="C36" s="4" t="s">
        <v>39</v>
      </c>
      <c r="D36" s="37">
        <v>0</v>
      </c>
      <c r="E36" s="4" t="s">
        <v>40</v>
      </c>
      <c r="F36" s="37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41">
        <v>45179</v>
      </c>
    </row>
    <row r="37" spans="1:24">
      <c r="A37" s="4" t="s">
        <v>75</v>
      </c>
      <c r="B37" s="4">
        <v>21010</v>
      </c>
      <c r="C37" s="4" t="s">
        <v>39</v>
      </c>
      <c r="D37" s="37">
        <v>0</v>
      </c>
      <c r="E37" s="4" t="s">
        <v>40</v>
      </c>
      <c r="F37" s="37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41">
        <v>45157</v>
      </c>
    </row>
    <row r="38" spans="1:24">
      <c r="A38" s="4" t="s">
        <v>76</v>
      </c>
      <c r="B38" s="4">
        <v>21012</v>
      </c>
      <c r="C38" s="4" t="s">
        <v>39</v>
      </c>
      <c r="D38" s="37">
        <v>0</v>
      </c>
      <c r="E38" s="4" t="s">
        <v>40</v>
      </c>
      <c r="F38" s="37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41">
        <v>45143</v>
      </c>
    </row>
    <row r="39" spans="1:24">
      <c r="A39" s="4" t="s">
        <v>77</v>
      </c>
      <c r="B39" s="4">
        <v>21014</v>
      </c>
      <c r="C39" s="4" t="s">
        <v>39</v>
      </c>
      <c r="D39" s="37">
        <v>0</v>
      </c>
      <c r="E39" s="4" t="s">
        <v>40</v>
      </c>
      <c r="F39" s="37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41">
        <v>45166</v>
      </c>
    </row>
    <row r="40" spans="1:24">
      <c r="A40" s="4" t="s">
        <v>78</v>
      </c>
      <c r="B40" s="4">
        <v>21016</v>
      </c>
      <c r="C40" s="4" t="s">
        <v>39</v>
      </c>
      <c r="D40" s="37">
        <v>0</v>
      </c>
      <c r="E40" s="4" t="s">
        <v>40</v>
      </c>
      <c r="F40" s="37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41">
        <v>45162</v>
      </c>
    </row>
  </sheetData>
  <conditionalFormatting sqref="A$1:A$1048576">
    <cfRule type="duplicateValues" dxfId="0" priority="4"/>
  </conditionalFormatting>
  <conditionalFormatting sqref="B$1:B$1048576">
    <cfRule type="duplicateValues" dxfId="0" priority="3"/>
  </conditionalFormatting>
  <conditionalFormatting sqref="A1:X40">
    <cfRule type="cellIs" dxfId="1" priority="2" operator="equal">
      <formula>-1</formula>
    </cfRule>
  </conditionalFormatting>
  <conditionalFormatting sqref="G1:W40">
    <cfRule type="cellIs" dxfId="2" priority="1" operator="equal">
      <formula>0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9"/>
  <sheetViews>
    <sheetView workbookViewId="0">
      <selection activeCell="C9" sqref="C9"/>
    </sheetView>
  </sheetViews>
  <sheetFormatPr defaultColWidth="11" defaultRowHeight="14"/>
  <cols>
    <col min="1" max="1" width="8.39423076923077" style="4" customWidth="1"/>
    <col min="2" max="2" width="65.7980769230769" style="4" customWidth="1"/>
    <col min="3" max="3" width="27.5961538461538" style="4" customWidth="1"/>
    <col min="4" max="4" width="11" style="4"/>
    <col min="5" max="5" width="14.3942307692308" style="4" customWidth="1"/>
    <col min="6" max="16384" width="11" style="4"/>
  </cols>
  <sheetData>
    <row r="1" spans="1:5">
      <c r="A1" s="31" t="s">
        <v>79</v>
      </c>
      <c r="B1" s="31" t="s">
        <v>80</v>
      </c>
      <c r="C1" s="31" t="s">
        <v>81</v>
      </c>
      <c r="E1" s="31" t="s">
        <v>82</v>
      </c>
    </row>
    <row r="2" spans="1:3">
      <c r="A2" s="1"/>
      <c r="B2" s="32" t="s">
        <v>83</v>
      </c>
      <c r="C2" s="1"/>
    </row>
    <row r="3" spans="1:5">
      <c r="A3" s="33">
        <v>1</v>
      </c>
      <c r="B3" s="1" t="s">
        <v>84</v>
      </c>
      <c r="C3" s="1" t="s">
        <v>85</v>
      </c>
      <c r="E3" s="4">
        <v>5</v>
      </c>
    </row>
    <row r="4" spans="1:5">
      <c r="A4" s="33">
        <v>2</v>
      </c>
      <c r="B4" s="1" t="s">
        <v>86</v>
      </c>
      <c r="C4" s="1"/>
      <c r="E4" s="4">
        <v>5</v>
      </c>
    </row>
    <row r="5" spans="1:5">
      <c r="A5" s="33">
        <v>3</v>
      </c>
      <c r="B5" s="1" t="s">
        <v>87</v>
      </c>
      <c r="C5" s="34" t="s">
        <v>88</v>
      </c>
      <c r="E5" s="4">
        <v>10</v>
      </c>
    </row>
    <row r="6" spans="1:5">
      <c r="A6" s="33">
        <v>4</v>
      </c>
      <c r="B6" s="1" t="s">
        <v>89</v>
      </c>
      <c r="C6" s="1"/>
      <c r="E6" s="4">
        <v>5</v>
      </c>
    </row>
    <row r="7" ht="12.4" spans="1:3">
      <c r="A7" s="1"/>
      <c r="B7" s="1"/>
      <c r="C7" s="1"/>
    </row>
    <row r="10" spans="1:24">
      <c r="A10" s="35" t="s">
        <v>14</v>
      </c>
      <c r="B10" s="35" t="s">
        <v>15</v>
      </c>
      <c r="C10" s="35" t="s">
        <v>16</v>
      </c>
      <c r="D10" s="36" t="s">
        <v>17</v>
      </c>
      <c r="E10" s="35" t="s">
        <v>18</v>
      </c>
      <c r="F10" s="36" t="s">
        <v>19</v>
      </c>
      <c r="G10" s="38" t="s">
        <v>20</v>
      </c>
      <c r="H10" s="38" t="s">
        <v>21</v>
      </c>
      <c r="I10" s="38" t="s">
        <v>22</v>
      </c>
      <c r="J10" s="39" t="s">
        <v>23</v>
      </c>
      <c r="K10" s="39" t="s">
        <v>24</v>
      </c>
      <c r="L10" s="39" t="s">
        <v>25</v>
      </c>
      <c r="M10" s="38" t="s">
        <v>26</v>
      </c>
      <c r="N10" s="38" t="s">
        <v>27</v>
      </c>
      <c r="O10" s="38" t="s">
        <v>28</v>
      </c>
      <c r="P10" s="39" t="s">
        <v>29</v>
      </c>
      <c r="Q10" s="39" t="s">
        <v>30</v>
      </c>
      <c r="R10" s="39" t="s">
        <v>31</v>
      </c>
      <c r="S10" s="38" t="s">
        <v>32</v>
      </c>
      <c r="T10" s="38" t="s">
        <v>33</v>
      </c>
      <c r="U10" s="39" t="s">
        <v>34</v>
      </c>
      <c r="V10" s="39" t="s">
        <v>35</v>
      </c>
      <c r="W10" s="39" t="s">
        <v>36</v>
      </c>
      <c r="X10" s="6" t="s">
        <v>37</v>
      </c>
    </row>
    <row r="11" spans="1:24">
      <c r="A11" s="4" t="s">
        <v>38</v>
      </c>
      <c r="B11" s="4">
        <v>20000</v>
      </c>
      <c r="C11" s="4" t="s">
        <v>39</v>
      </c>
      <c r="D11" s="37">
        <v>0</v>
      </c>
      <c r="E11" s="4" t="s">
        <v>40</v>
      </c>
      <c r="F11" s="37">
        <v>0.999988425925926</v>
      </c>
      <c r="G11" s="4">
        <v>2.7</v>
      </c>
      <c r="H11" s="4">
        <v>3.6</v>
      </c>
      <c r="I11" s="4">
        <v>4.2</v>
      </c>
      <c r="J11" s="4">
        <v>-1</v>
      </c>
      <c r="K11" s="4">
        <v>-1</v>
      </c>
      <c r="L11" s="4">
        <v>-1</v>
      </c>
      <c r="M11" s="4">
        <v>5.3</v>
      </c>
      <c r="N11" s="4">
        <v>7.6</v>
      </c>
      <c r="O11" s="4">
        <v>8.9</v>
      </c>
      <c r="P11" s="4">
        <v>2.7</v>
      </c>
      <c r="Q11" s="4">
        <v>3.6</v>
      </c>
      <c r="R11" s="4">
        <v>4.2</v>
      </c>
      <c r="S11" s="4">
        <v>7.6</v>
      </c>
      <c r="T11" s="4">
        <v>8.9</v>
      </c>
      <c r="U11" s="4">
        <v>3.6</v>
      </c>
      <c r="V11" s="4">
        <v>4.2</v>
      </c>
      <c r="W11" s="4">
        <v>4.2</v>
      </c>
      <c r="X11" s="40">
        <v>45051</v>
      </c>
    </row>
    <row r="12" spans="1:24">
      <c r="A12" s="4" t="s">
        <v>41</v>
      </c>
      <c r="B12" s="4">
        <v>20002</v>
      </c>
      <c r="C12" s="4" t="s">
        <v>39</v>
      </c>
      <c r="D12" s="37">
        <v>0</v>
      </c>
      <c r="E12" s="4" t="s">
        <v>40</v>
      </c>
      <c r="F12" s="37">
        <v>0.999988425925926</v>
      </c>
      <c r="G12" s="4">
        <v>2.7</v>
      </c>
      <c r="H12" s="4">
        <v>3.6</v>
      </c>
      <c r="I12" s="4">
        <v>4.2</v>
      </c>
      <c r="J12" s="4">
        <v>-1</v>
      </c>
      <c r="K12" s="4">
        <v>-1</v>
      </c>
      <c r="L12" s="4">
        <v>-1</v>
      </c>
      <c r="M12" s="4">
        <v>5.3</v>
      </c>
      <c r="N12" s="4">
        <v>7.6</v>
      </c>
      <c r="O12" s="4">
        <v>8.9</v>
      </c>
      <c r="P12" s="4">
        <v>2.7</v>
      </c>
      <c r="Q12" s="4">
        <v>3.6</v>
      </c>
      <c r="R12" s="4">
        <v>4.2</v>
      </c>
      <c r="S12" s="4">
        <v>7.6</v>
      </c>
      <c r="T12" s="4">
        <v>8.9</v>
      </c>
      <c r="U12" s="4">
        <v>3.6</v>
      </c>
      <c r="V12" s="4">
        <v>4.2</v>
      </c>
      <c r="W12" s="4">
        <v>4.2</v>
      </c>
      <c r="X12" s="40">
        <v>45048</v>
      </c>
    </row>
    <row r="13" spans="1:24">
      <c r="A13" s="4" t="s">
        <v>42</v>
      </c>
      <c r="B13" s="4">
        <v>20004</v>
      </c>
      <c r="C13" s="4" t="s">
        <v>39</v>
      </c>
      <c r="D13" s="37">
        <v>0</v>
      </c>
      <c r="E13" s="4" t="s">
        <v>40</v>
      </c>
      <c r="F13" s="37">
        <v>0.999988425925926</v>
      </c>
      <c r="G13" s="4">
        <v>3.6</v>
      </c>
      <c r="H13" s="4">
        <v>5.4</v>
      </c>
      <c r="I13" s="4">
        <v>5.8</v>
      </c>
      <c r="J13" s="4">
        <v>-1</v>
      </c>
      <c r="K13" s="4">
        <v>-1</v>
      </c>
      <c r="L13" s="4">
        <v>-1</v>
      </c>
      <c r="M13" s="4">
        <v>7.6</v>
      </c>
      <c r="N13" s="4">
        <v>11.1</v>
      </c>
      <c r="O13" s="4">
        <v>12.2</v>
      </c>
      <c r="P13" s="4">
        <v>3.6</v>
      </c>
      <c r="Q13" s="4">
        <v>5.4</v>
      </c>
      <c r="R13" s="4">
        <v>5.8</v>
      </c>
      <c r="S13" s="4">
        <v>11.1</v>
      </c>
      <c r="T13" s="4">
        <v>12.2</v>
      </c>
      <c r="U13" s="4">
        <v>5.4</v>
      </c>
      <c r="V13" s="4">
        <v>5.8</v>
      </c>
      <c r="W13" s="4">
        <v>5.8</v>
      </c>
      <c r="X13" s="40">
        <v>45055</v>
      </c>
    </row>
    <row r="14" spans="1:24">
      <c r="A14" s="4" t="s">
        <v>43</v>
      </c>
      <c r="B14" s="4">
        <v>20006</v>
      </c>
      <c r="C14" s="4" t="s">
        <v>39</v>
      </c>
      <c r="D14" s="37">
        <v>0</v>
      </c>
      <c r="E14" s="4" t="s">
        <v>40</v>
      </c>
      <c r="F14" s="37">
        <v>0.999988425925926</v>
      </c>
      <c r="G14" s="4">
        <v>4.9</v>
      </c>
      <c r="H14" s="4">
        <v>6.6</v>
      </c>
      <c r="I14" s="4">
        <v>8.1</v>
      </c>
      <c r="J14" s="4">
        <v>-1</v>
      </c>
      <c r="K14" s="4">
        <v>-1</v>
      </c>
      <c r="L14" s="4">
        <v>-1</v>
      </c>
      <c r="M14" s="4">
        <v>10</v>
      </c>
      <c r="N14" s="4">
        <v>13.3</v>
      </c>
      <c r="O14" s="4">
        <v>17</v>
      </c>
      <c r="P14" s="4">
        <v>4.9</v>
      </c>
      <c r="Q14" s="4">
        <v>6.6</v>
      </c>
      <c r="R14" s="4">
        <v>8.1</v>
      </c>
      <c r="S14" s="4">
        <v>13.3</v>
      </c>
      <c r="T14" s="4">
        <v>17</v>
      </c>
      <c r="U14" s="4">
        <v>6.6</v>
      </c>
      <c r="V14" s="4">
        <v>8.1</v>
      </c>
      <c r="W14" s="4">
        <v>8.1</v>
      </c>
      <c r="X14" s="40">
        <v>45059</v>
      </c>
    </row>
    <row r="15" spans="1:24">
      <c r="A15" s="4" t="s">
        <v>44</v>
      </c>
      <c r="B15" s="4">
        <v>20008</v>
      </c>
      <c r="C15" s="4" t="s">
        <v>39</v>
      </c>
      <c r="D15" s="37">
        <v>0</v>
      </c>
      <c r="E15" s="4" t="s">
        <v>40</v>
      </c>
      <c r="F15" s="37">
        <v>0.999988425925926</v>
      </c>
      <c r="G15" s="4">
        <v>6.6</v>
      </c>
      <c r="H15" s="4">
        <v>8.8</v>
      </c>
      <c r="I15" s="4">
        <v>11</v>
      </c>
      <c r="J15" s="4">
        <v>-1</v>
      </c>
      <c r="K15" s="4">
        <v>-1</v>
      </c>
      <c r="L15" s="4">
        <v>-1</v>
      </c>
      <c r="M15" s="4">
        <v>13.3</v>
      </c>
      <c r="N15" s="4">
        <v>18</v>
      </c>
      <c r="O15" s="4">
        <v>22.5</v>
      </c>
      <c r="P15" s="4">
        <v>6.6</v>
      </c>
      <c r="Q15" s="4">
        <v>8.8</v>
      </c>
      <c r="R15" s="4">
        <v>11</v>
      </c>
      <c r="S15" s="4">
        <v>18</v>
      </c>
      <c r="T15" s="4">
        <v>22.5</v>
      </c>
      <c r="U15" s="4">
        <v>8.8</v>
      </c>
      <c r="V15" s="4">
        <v>11</v>
      </c>
      <c r="W15" s="4">
        <v>11</v>
      </c>
      <c r="X15" s="40">
        <v>45076</v>
      </c>
    </row>
    <row r="16" spans="1:24">
      <c r="A16" s="4" t="s">
        <v>45</v>
      </c>
      <c r="B16" s="4">
        <v>20010</v>
      </c>
      <c r="C16" s="4" t="s">
        <v>39</v>
      </c>
      <c r="D16" s="37">
        <v>0</v>
      </c>
      <c r="E16" s="4" t="s">
        <v>40</v>
      </c>
      <c r="F16" s="37">
        <v>0.999988425925926</v>
      </c>
      <c r="G16" s="4">
        <v>7.1</v>
      </c>
      <c r="H16" s="4">
        <v>10.4</v>
      </c>
      <c r="I16" s="4">
        <v>12.8</v>
      </c>
      <c r="J16" s="4">
        <v>-1</v>
      </c>
      <c r="K16" s="4">
        <v>-1</v>
      </c>
      <c r="L16" s="4">
        <v>-1</v>
      </c>
      <c r="M16" s="4">
        <v>14.4</v>
      </c>
      <c r="N16" s="4">
        <v>21.5</v>
      </c>
      <c r="O16" s="4">
        <v>26.1</v>
      </c>
      <c r="P16" s="4">
        <v>7.1</v>
      </c>
      <c r="Q16" s="4">
        <v>10.4</v>
      </c>
      <c r="R16" s="4">
        <v>12.8</v>
      </c>
      <c r="S16" s="4">
        <v>21.5</v>
      </c>
      <c r="T16" s="4">
        <v>26.1</v>
      </c>
      <c r="U16" s="4">
        <v>10.4</v>
      </c>
      <c r="V16" s="4">
        <v>12.8</v>
      </c>
      <c r="W16" s="4">
        <v>12.8</v>
      </c>
      <c r="X16" s="40">
        <v>45057</v>
      </c>
    </row>
    <row r="17" spans="1:24">
      <c r="A17" s="4" t="s">
        <v>46</v>
      </c>
      <c r="B17" s="4">
        <v>20012</v>
      </c>
      <c r="C17" s="4" t="s">
        <v>39</v>
      </c>
      <c r="D17" s="37">
        <v>0</v>
      </c>
      <c r="E17" s="4" t="s">
        <v>40</v>
      </c>
      <c r="F17" s="37">
        <v>0.999988425925926</v>
      </c>
      <c r="G17" s="4">
        <v>9.4</v>
      </c>
      <c r="H17" s="4">
        <v>13.8</v>
      </c>
      <c r="I17" s="4">
        <v>16.1</v>
      </c>
      <c r="J17" s="4">
        <v>-1</v>
      </c>
      <c r="K17" s="4">
        <v>-1</v>
      </c>
      <c r="L17" s="4">
        <v>-1</v>
      </c>
      <c r="M17" s="4">
        <v>19.2</v>
      </c>
      <c r="N17" s="4">
        <v>28.3</v>
      </c>
      <c r="O17" s="4">
        <v>32.8</v>
      </c>
      <c r="P17" s="4">
        <v>9.4</v>
      </c>
      <c r="Q17" s="4">
        <v>13.8</v>
      </c>
      <c r="R17" s="4">
        <v>16.1</v>
      </c>
      <c r="S17" s="4">
        <v>28.3</v>
      </c>
      <c r="T17" s="4">
        <v>32.8</v>
      </c>
      <c r="U17" s="4">
        <v>13.8</v>
      </c>
      <c r="V17" s="4">
        <v>16.1</v>
      </c>
      <c r="W17" s="4">
        <v>16.1</v>
      </c>
      <c r="X17" s="40">
        <v>45052</v>
      </c>
    </row>
    <row r="18" spans="1:24">
      <c r="A18" s="4" t="s">
        <v>47</v>
      </c>
      <c r="B18" s="4">
        <v>20014</v>
      </c>
      <c r="C18" s="4" t="s">
        <v>39</v>
      </c>
      <c r="D18" s="37">
        <v>0</v>
      </c>
      <c r="E18" s="4" t="s">
        <v>40</v>
      </c>
      <c r="F18" s="37">
        <v>0.999988425925926</v>
      </c>
      <c r="G18" s="4">
        <v>11.6</v>
      </c>
      <c r="H18" s="4">
        <v>17.3</v>
      </c>
      <c r="I18" s="4">
        <v>21.3</v>
      </c>
      <c r="J18" s="4">
        <v>-1</v>
      </c>
      <c r="K18" s="4">
        <v>-1</v>
      </c>
      <c r="L18" s="4">
        <v>-1</v>
      </c>
      <c r="M18" s="4">
        <v>23.6</v>
      </c>
      <c r="N18" s="4">
        <v>35.2</v>
      </c>
      <c r="O18" s="4">
        <v>43</v>
      </c>
      <c r="P18" s="4">
        <v>11.6</v>
      </c>
      <c r="Q18" s="4">
        <v>17.3</v>
      </c>
      <c r="R18" s="4">
        <v>21.3</v>
      </c>
      <c r="S18" s="4">
        <v>35.2</v>
      </c>
      <c r="T18" s="4">
        <v>43</v>
      </c>
      <c r="U18" s="4">
        <v>17.3</v>
      </c>
      <c r="V18" s="4">
        <v>21.3</v>
      </c>
      <c r="W18" s="4">
        <v>21.3</v>
      </c>
      <c r="X18" s="40">
        <v>45098</v>
      </c>
    </row>
    <row r="19" spans="1:24">
      <c r="A19" s="4" t="s">
        <v>48</v>
      </c>
      <c r="B19" s="4">
        <v>20016</v>
      </c>
      <c r="C19" s="4" t="s">
        <v>39</v>
      </c>
      <c r="D19" s="37">
        <v>0</v>
      </c>
      <c r="E19" s="4" t="s">
        <v>40</v>
      </c>
      <c r="F19" s="37">
        <v>0.999988425925926</v>
      </c>
      <c r="G19" s="4">
        <v>16.1</v>
      </c>
      <c r="H19" s="4">
        <v>24.1</v>
      </c>
      <c r="I19" s="4">
        <v>29.1</v>
      </c>
      <c r="J19" s="4">
        <v>-1</v>
      </c>
      <c r="K19" s="4">
        <v>-1</v>
      </c>
      <c r="L19" s="4">
        <v>-1</v>
      </c>
      <c r="M19" s="4">
        <v>32.8</v>
      </c>
      <c r="N19" s="4">
        <v>49</v>
      </c>
      <c r="O19" s="4">
        <v>59</v>
      </c>
      <c r="P19" s="4">
        <v>16.1</v>
      </c>
      <c r="Q19" s="4">
        <v>24.1</v>
      </c>
      <c r="R19" s="4">
        <v>29.1</v>
      </c>
      <c r="S19" s="4">
        <v>49</v>
      </c>
      <c r="T19" s="4">
        <v>59</v>
      </c>
      <c r="U19" s="4">
        <v>24.1</v>
      </c>
      <c r="V19" s="4">
        <v>29.1</v>
      </c>
      <c r="W19" s="4">
        <v>29.1</v>
      </c>
      <c r="X19" s="40">
        <v>45092</v>
      </c>
    </row>
    <row r="20" spans="1:24">
      <c r="A20" s="4" t="s">
        <v>49</v>
      </c>
      <c r="B20" s="4">
        <v>20018</v>
      </c>
      <c r="C20" s="4" t="s">
        <v>39</v>
      </c>
      <c r="D20" s="37">
        <v>0</v>
      </c>
      <c r="E20" s="4" t="s">
        <v>40</v>
      </c>
      <c r="F20" s="37">
        <v>0.999988425925926</v>
      </c>
      <c r="G20" s="4">
        <v>18.4</v>
      </c>
      <c r="H20" s="4">
        <v>27.5</v>
      </c>
      <c r="I20" s="4">
        <v>33.8</v>
      </c>
      <c r="J20" s="4">
        <v>-1</v>
      </c>
      <c r="K20" s="4">
        <v>-1</v>
      </c>
      <c r="L20" s="4">
        <v>-1</v>
      </c>
      <c r="M20" s="4">
        <v>37.2</v>
      </c>
      <c r="N20" s="4">
        <v>55.6</v>
      </c>
      <c r="O20" s="4">
        <v>67.9</v>
      </c>
      <c r="P20" s="4">
        <v>18.4</v>
      </c>
      <c r="Q20" s="4">
        <v>27.5</v>
      </c>
      <c r="R20" s="4">
        <v>33.8</v>
      </c>
      <c r="S20" s="4">
        <v>55.6</v>
      </c>
      <c r="T20" s="4">
        <v>67.9</v>
      </c>
      <c r="U20" s="4">
        <v>27.5</v>
      </c>
      <c r="V20" s="4">
        <v>33.8</v>
      </c>
      <c r="W20" s="4">
        <v>33.8</v>
      </c>
      <c r="X20" s="40">
        <v>45104</v>
      </c>
    </row>
    <row r="21" spans="1:24">
      <c r="A21" s="4" t="s">
        <v>50</v>
      </c>
      <c r="B21" s="4">
        <v>20020</v>
      </c>
      <c r="C21" s="4" t="s">
        <v>39</v>
      </c>
      <c r="D21" s="37">
        <v>0</v>
      </c>
      <c r="E21" s="4" t="s">
        <v>40</v>
      </c>
      <c r="F21" s="37">
        <v>0.999988425925926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0">
        <v>45116</v>
      </c>
    </row>
    <row r="22" spans="1:24">
      <c r="A22" s="4" t="s">
        <v>51</v>
      </c>
      <c r="B22" s="4">
        <v>20022</v>
      </c>
      <c r="C22" s="4" t="s">
        <v>39</v>
      </c>
      <c r="D22" s="37">
        <v>0</v>
      </c>
      <c r="E22" s="4" t="s">
        <v>40</v>
      </c>
      <c r="F22" s="37">
        <v>0.999988425925926</v>
      </c>
      <c r="G22" s="4">
        <v>21.9</v>
      </c>
      <c r="H22" s="4">
        <v>32.1</v>
      </c>
      <c r="I22" s="4">
        <v>40.1</v>
      </c>
      <c r="J22" s="4">
        <v>-1</v>
      </c>
      <c r="K22" s="4">
        <v>-1</v>
      </c>
      <c r="L22" s="4">
        <v>-1</v>
      </c>
      <c r="M22" s="4">
        <v>42.3</v>
      </c>
      <c r="N22" s="4">
        <v>61.5</v>
      </c>
      <c r="O22" s="4">
        <v>76.6</v>
      </c>
      <c r="P22" s="4">
        <v>21.9</v>
      </c>
      <c r="Q22" s="4">
        <v>32.1</v>
      </c>
      <c r="R22" s="4">
        <v>40.1</v>
      </c>
      <c r="S22" s="4">
        <v>61.5</v>
      </c>
      <c r="T22" s="4">
        <v>76.6</v>
      </c>
      <c r="U22" s="4">
        <v>32.1</v>
      </c>
      <c r="V22" s="4">
        <v>40.1</v>
      </c>
      <c r="W22" s="4">
        <v>40.1</v>
      </c>
      <c r="X22" s="40">
        <v>45110</v>
      </c>
    </row>
    <row r="23" spans="1:24">
      <c r="A23" s="4" t="s">
        <v>52</v>
      </c>
      <c r="B23" s="4">
        <v>20024</v>
      </c>
      <c r="C23" s="4" t="s">
        <v>39</v>
      </c>
      <c r="D23" s="37">
        <v>0</v>
      </c>
      <c r="E23" s="4" t="s">
        <v>40</v>
      </c>
      <c r="F23" s="37">
        <v>0.999988425925926</v>
      </c>
      <c r="G23" s="4">
        <v>23.5</v>
      </c>
      <c r="H23" s="4">
        <v>34.7</v>
      </c>
      <c r="I23" s="4">
        <v>42.7</v>
      </c>
      <c r="J23" s="4">
        <v>-1</v>
      </c>
      <c r="K23" s="4">
        <v>-1</v>
      </c>
      <c r="L23" s="4">
        <v>-1</v>
      </c>
      <c r="M23" s="4">
        <v>47.7</v>
      </c>
      <c r="N23" s="4">
        <v>70.8</v>
      </c>
      <c r="O23" s="4">
        <v>86.6</v>
      </c>
      <c r="P23" s="4">
        <v>23.5</v>
      </c>
      <c r="Q23" s="4">
        <v>34.7</v>
      </c>
      <c r="R23" s="4">
        <v>42.7</v>
      </c>
      <c r="S23" s="4">
        <v>70.8</v>
      </c>
      <c r="T23" s="4">
        <v>86.6</v>
      </c>
      <c r="U23" s="4">
        <v>34.7</v>
      </c>
      <c r="V23" s="4">
        <v>42.7</v>
      </c>
      <c r="W23" s="4">
        <v>42.7</v>
      </c>
      <c r="X23" s="40">
        <v>45095</v>
      </c>
    </row>
    <row r="24" spans="1:24">
      <c r="A24" s="4" t="s">
        <v>53</v>
      </c>
      <c r="B24" s="4">
        <v>20026</v>
      </c>
      <c r="C24" s="4" t="s">
        <v>39</v>
      </c>
      <c r="D24" s="37">
        <v>0</v>
      </c>
      <c r="E24" s="4" t="s">
        <v>40</v>
      </c>
      <c r="F24" s="37">
        <v>0.999988425925926</v>
      </c>
      <c r="G24" s="4">
        <v>26.8</v>
      </c>
      <c r="H24" s="4">
        <v>39.3</v>
      </c>
      <c r="I24" s="4">
        <v>47.9</v>
      </c>
      <c r="J24" s="4">
        <v>-1</v>
      </c>
      <c r="K24" s="4">
        <v>-1</v>
      </c>
      <c r="L24" s="4">
        <v>-1</v>
      </c>
      <c r="M24" s="4">
        <v>54.6</v>
      </c>
      <c r="N24" s="4">
        <v>79.6</v>
      </c>
      <c r="O24" s="4">
        <v>96.8</v>
      </c>
      <c r="P24" s="4">
        <v>26.8</v>
      </c>
      <c r="Q24" s="4">
        <v>39.3</v>
      </c>
      <c r="R24" s="4">
        <v>47.9</v>
      </c>
      <c r="S24" s="4">
        <v>79.6</v>
      </c>
      <c r="T24" s="4">
        <v>96.8</v>
      </c>
      <c r="U24" s="4">
        <v>39.3</v>
      </c>
      <c r="V24" s="4">
        <v>47.9</v>
      </c>
      <c r="W24" s="4">
        <v>47.9</v>
      </c>
      <c r="X24" s="40">
        <v>45113</v>
      </c>
    </row>
    <row r="25" spans="1:24">
      <c r="A25" s="4" t="s">
        <v>54</v>
      </c>
      <c r="B25" s="4">
        <v>20028</v>
      </c>
      <c r="C25" s="4" t="s">
        <v>39</v>
      </c>
      <c r="D25" s="37">
        <v>0</v>
      </c>
      <c r="E25" s="4" t="s">
        <v>40</v>
      </c>
      <c r="F25" s="37">
        <v>0.999988425925926</v>
      </c>
      <c r="G25" s="4">
        <v>28</v>
      </c>
      <c r="H25" s="4">
        <v>41</v>
      </c>
      <c r="I25" s="4">
        <v>50.1</v>
      </c>
      <c r="J25" s="4">
        <v>-1</v>
      </c>
      <c r="K25" s="4">
        <v>-1</v>
      </c>
      <c r="L25" s="4">
        <v>-1</v>
      </c>
      <c r="M25" s="4">
        <v>56.7</v>
      </c>
      <c r="N25" s="4">
        <v>83.2</v>
      </c>
      <c r="O25" s="4">
        <v>101.3</v>
      </c>
      <c r="P25" s="4">
        <v>28</v>
      </c>
      <c r="Q25" s="4">
        <v>41</v>
      </c>
      <c r="R25" s="4">
        <v>50.1</v>
      </c>
      <c r="S25" s="4">
        <v>83.2</v>
      </c>
      <c r="T25" s="4">
        <v>101.3</v>
      </c>
      <c r="U25" s="4">
        <v>41</v>
      </c>
      <c r="V25" s="4">
        <v>50.1</v>
      </c>
      <c r="W25" s="4">
        <v>50.1</v>
      </c>
      <c r="X25" s="40">
        <v>45063</v>
      </c>
    </row>
    <row r="26" spans="1:24">
      <c r="A26" s="4" t="s">
        <v>55</v>
      </c>
      <c r="B26" s="4">
        <v>20030</v>
      </c>
      <c r="C26" s="4" t="s">
        <v>39</v>
      </c>
      <c r="D26" s="37">
        <v>0</v>
      </c>
      <c r="E26" s="4" t="s">
        <v>40</v>
      </c>
      <c r="F26" s="37">
        <v>0.999988425925926</v>
      </c>
      <c r="G26" s="4">
        <v>28.5</v>
      </c>
      <c r="H26" s="4">
        <v>42.3</v>
      </c>
      <c r="I26" s="4">
        <v>52.3</v>
      </c>
      <c r="J26" s="4">
        <v>-1</v>
      </c>
      <c r="K26" s="4">
        <v>-1</v>
      </c>
      <c r="L26" s="4">
        <v>-1</v>
      </c>
      <c r="M26" s="4">
        <v>58.3</v>
      </c>
      <c r="N26" s="4">
        <v>85.4</v>
      </c>
      <c r="O26" s="4">
        <v>106.1</v>
      </c>
      <c r="P26" s="4">
        <v>28.5</v>
      </c>
      <c r="Q26" s="4">
        <v>42.3</v>
      </c>
      <c r="R26" s="4">
        <v>52.3</v>
      </c>
      <c r="S26" s="4">
        <v>85.4</v>
      </c>
      <c r="T26" s="4">
        <v>106.1</v>
      </c>
      <c r="U26" s="4">
        <v>42.3</v>
      </c>
      <c r="V26" s="4">
        <v>52.3</v>
      </c>
      <c r="W26" s="4">
        <v>52.3</v>
      </c>
      <c r="X26" s="40">
        <v>45071</v>
      </c>
    </row>
    <row r="27" spans="1:24">
      <c r="A27" s="4" t="s">
        <v>56</v>
      </c>
      <c r="B27" s="4">
        <v>20032</v>
      </c>
      <c r="C27" s="4" t="s">
        <v>39</v>
      </c>
      <c r="D27" s="37">
        <v>0</v>
      </c>
      <c r="E27" s="4" t="s">
        <v>40</v>
      </c>
      <c r="F27" s="37">
        <v>0.999988425925926</v>
      </c>
      <c r="G27" s="4">
        <v>29.1</v>
      </c>
      <c r="H27" s="4">
        <v>43.3</v>
      </c>
      <c r="I27" s="4">
        <v>53.7</v>
      </c>
      <c r="J27" s="4">
        <v>-1</v>
      </c>
      <c r="K27" s="4">
        <v>-1</v>
      </c>
      <c r="L27" s="4">
        <v>-1</v>
      </c>
      <c r="M27" s="4">
        <v>59</v>
      </c>
      <c r="N27" s="4">
        <v>87.6</v>
      </c>
      <c r="O27" s="4">
        <v>108.8</v>
      </c>
      <c r="P27" s="4">
        <v>29.1</v>
      </c>
      <c r="Q27" s="4">
        <v>43.3</v>
      </c>
      <c r="R27" s="4">
        <v>53.7</v>
      </c>
      <c r="S27" s="4">
        <v>87.6</v>
      </c>
      <c r="T27" s="4">
        <v>108.8</v>
      </c>
      <c r="U27" s="4">
        <v>43.3</v>
      </c>
      <c r="V27" s="4">
        <v>53.7</v>
      </c>
      <c r="W27" s="4">
        <v>53.7</v>
      </c>
      <c r="X27" s="40">
        <v>45085</v>
      </c>
    </row>
    <row r="28" spans="1:24">
      <c r="A28" s="4" t="s">
        <v>57</v>
      </c>
      <c r="B28" s="4">
        <v>20034</v>
      </c>
      <c r="C28" s="4" t="s">
        <v>39</v>
      </c>
      <c r="D28" s="37">
        <v>0</v>
      </c>
      <c r="E28" s="4" t="s">
        <v>40</v>
      </c>
      <c r="F28" s="37">
        <v>0.999988425925926</v>
      </c>
      <c r="G28" s="4">
        <v>30.7</v>
      </c>
      <c r="H28" s="4">
        <v>45.5</v>
      </c>
      <c r="I28" s="4">
        <v>57</v>
      </c>
      <c r="J28" s="4">
        <v>-1</v>
      </c>
      <c r="K28" s="4">
        <v>-1</v>
      </c>
      <c r="L28" s="4">
        <v>-1</v>
      </c>
      <c r="M28" s="4">
        <v>62.5</v>
      </c>
      <c r="N28" s="4">
        <v>92.1</v>
      </c>
      <c r="O28" s="4">
        <v>115.1</v>
      </c>
      <c r="P28" s="4">
        <v>30.7</v>
      </c>
      <c r="Q28" s="4">
        <v>45.5</v>
      </c>
      <c r="R28" s="4">
        <v>57</v>
      </c>
      <c r="S28" s="4">
        <v>92.1</v>
      </c>
      <c r="T28" s="4">
        <v>115.1</v>
      </c>
      <c r="U28" s="4">
        <v>45.5</v>
      </c>
      <c r="V28" s="4">
        <v>57</v>
      </c>
      <c r="W28" s="4">
        <v>57</v>
      </c>
      <c r="X28" s="40">
        <v>45099</v>
      </c>
    </row>
    <row r="29" spans="1:24">
      <c r="A29" s="4" t="s">
        <v>58</v>
      </c>
      <c r="B29" s="4">
        <v>20036</v>
      </c>
      <c r="C29" s="4" t="s">
        <v>39</v>
      </c>
      <c r="D29" s="37">
        <v>0</v>
      </c>
      <c r="E29" s="4" t="s">
        <v>40</v>
      </c>
      <c r="F29" s="37">
        <v>0.999988425925926</v>
      </c>
      <c r="G29" s="4">
        <v>33.8</v>
      </c>
      <c r="H29" s="4">
        <v>50.1</v>
      </c>
      <c r="I29" s="4">
        <v>61.4</v>
      </c>
      <c r="J29" s="4">
        <v>-1</v>
      </c>
      <c r="K29" s="4">
        <v>-1</v>
      </c>
      <c r="L29" s="4">
        <v>-1</v>
      </c>
      <c r="M29" s="4">
        <v>67.9</v>
      </c>
      <c r="N29" s="4">
        <v>101.3</v>
      </c>
      <c r="O29" s="4">
        <v>124.4</v>
      </c>
      <c r="P29" s="4">
        <v>33.8</v>
      </c>
      <c r="Q29" s="4">
        <v>50.1</v>
      </c>
      <c r="R29" s="4">
        <v>61.4</v>
      </c>
      <c r="S29" s="4">
        <v>101.3</v>
      </c>
      <c r="T29" s="4">
        <v>124.4</v>
      </c>
      <c r="U29" s="4">
        <v>50.1</v>
      </c>
      <c r="V29" s="4">
        <v>61.4</v>
      </c>
      <c r="W29" s="4">
        <v>61.4</v>
      </c>
      <c r="X29" s="40">
        <v>45091</v>
      </c>
    </row>
    <row r="30" spans="1:24">
      <c r="A30" s="4" t="s">
        <v>59</v>
      </c>
      <c r="B30" s="4">
        <v>20038</v>
      </c>
      <c r="C30" s="4" t="s">
        <v>39</v>
      </c>
      <c r="D30" s="37">
        <v>0</v>
      </c>
      <c r="E30" s="4" t="s">
        <v>40</v>
      </c>
      <c r="F30" s="37">
        <v>0.999988425925926</v>
      </c>
      <c r="G30" s="4">
        <v>34.7</v>
      </c>
      <c r="H30" s="4">
        <v>52.3</v>
      </c>
      <c r="I30" s="4">
        <v>63.6</v>
      </c>
      <c r="J30" s="4">
        <v>-1</v>
      </c>
      <c r="K30" s="4">
        <v>-1</v>
      </c>
      <c r="L30" s="4">
        <v>-1</v>
      </c>
      <c r="M30" s="4">
        <v>70.8</v>
      </c>
      <c r="N30" s="4">
        <v>106.1</v>
      </c>
      <c r="O30" s="4">
        <v>128.6</v>
      </c>
      <c r="P30" s="4">
        <v>34.7</v>
      </c>
      <c r="Q30" s="4">
        <v>52.3</v>
      </c>
      <c r="R30" s="4">
        <v>63.6</v>
      </c>
      <c r="S30" s="4">
        <v>106.1</v>
      </c>
      <c r="T30" s="4">
        <v>128.6</v>
      </c>
      <c r="U30" s="4">
        <v>52.3</v>
      </c>
      <c r="V30" s="4">
        <v>63.6</v>
      </c>
      <c r="W30" s="4">
        <v>63.6</v>
      </c>
      <c r="X30" s="40">
        <v>45079</v>
      </c>
    </row>
    <row r="31" spans="1:24">
      <c r="A31" s="4" t="s">
        <v>60</v>
      </c>
      <c r="B31" s="4">
        <v>20040</v>
      </c>
      <c r="C31" s="4" t="s">
        <v>39</v>
      </c>
      <c r="D31" s="37">
        <v>0</v>
      </c>
      <c r="E31" s="4" t="s">
        <v>40</v>
      </c>
      <c r="F31" s="37">
        <v>0.999988425925926</v>
      </c>
      <c r="G31" s="4">
        <v>36.5</v>
      </c>
      <c r="H31" s="4">
        <v>54.6</v>
      </c>
      <c r="I31" s="4">
        <v>65.9</v>
      </c>
      <c r="J31" s="4">
        <v>-1</v>
      </c>
      <c r="K31" s="4">
        <v>-1</v>
      </c>
      <c r="L31" s="4">
        <v>-1</v>
      </c>
      <c r="M31" s="4">
        <v>73.9</v>
      </c>
      <c r="N31" s="4">
        <v>110.3</v>
      </c>
      <c r="O31" s="4">
        <v>133.4</v>
      </c>
      <c r="P31" s="4">
        <v>36.5</v>
      </c>
      <c r="Q31" s="4">
        <v>54.6</v>
      </c>
      <c r="R31" s="4">
        <v>65.9</v>
      </c>
      <c r="S31" s="4">
        <v>110.3</v>
      </c>
      <c r="T31" s="4">
        <v>133.4</v>
      </c>
      <c r="U31" s="4">
        <v>54.6</v>
      </c>
      <c r="V31" s="4">
        <v>65.9</v>
      </c>
      <c r="W31" s="4">
        <v>65.9</v>
      </c>
      <c r="X31" s="40">
        <v>45075</v>
      </c>
    </row>
    <row r="32" spans="1:24">
      <c r="A32" s="4" t="s">
        <v>61</v>
      </c>
      <c r="B32" s="4">
        <v>20042</v>
      </c>
      <c r="C32" s="4" t="s">
        <v>39</v>
      </c>
      <c r="D32" s="37">
        <v>0</v>
      </c>
      <c r="E32" s="4" t="s">
        <v>40</v>
      </c>
      <c r="F32" s="37">
        <v>0.999988425925926</v>
      </c>
      <c r="G32" s="4">
        <v>38</v>
      </c>
      <c r="H32" s="4">
        <v>57.2</v>
      </c>
      <c r="I32" s="4">
        <v>68.7</v>
      </c>
      <c r="J32" s="4">
        <v>-1</v>
      </c>
      <c r="K32" s="4">
        <v>-1</v>
      </c>
      <c r="L32" s="4">
        <v>-1</v>
      </c>
      <c r="M32" s="4">
        <v>76.6</v>
      </c>
      <c r="N32" s="4">
        <v>115.5</v>
      </c>
      <c r="O32" s="4">
        <v>138.8</v>
      </c>
      <c r="P32" s="4">
        <v>38</v>
      </c>
      <c r="Q32" s="4">
        <v>57.2</v>
      </c>
      <c r="R32" s="4">
        <v>68.7</v>
      </c>
      <c r="S32" s="4">
        <v>115.5</v>
      </c>
      <c r="T32" s="4">
        <v>138.8</v>
      </c>
      <c r="U32" s="4">
        <v>57.2</v>
      </c>
      <c r="V32" s="4">
        <v>68.7</v>
      </c>
      <c r="W32" s="4">
        <v>68.7</v>
      </c>
      <c r="X32" s="40">
        <v>45110</v>
      </c>
    </row>
    <row r="33" spans="1:24">
      <c r="A33" s="4" t="s">
        <v>62</v>
      </c>
      <c r="B33" s="4">
        <v>20044</v>
      </c>
      <c r="C33" s="4" t="s">
        <v>39</v>
      </c>
      <c r="D33" s="37">
        <v>0</v>
      </c>
      <c r="E33" s="4" t="s">
        <v>40</v>
      </c>
      <c r="F33" s="37">
        <v>0.999988425925926</v>
      </c>
      <c r="G33" s="4">
        <v>38.7</v>
      </c>
      <c r="H33" s="4">
        <v>59.2</v>
      </c>
      <c r="I33" s="4">
        <v>70.4</v>
      </c>
      <c r="J33" s="4">
        <v>-1</v>
      </c>
      <c r="K33" s="4">
        <v>-1</v>
      </c>
      <c r="L33" s="4">
        <v>-1</v>
      </c>
      <c r="M33" s="4">
        <v>78.6</v>
      </c>
      <c r="N33" s="4">
        <v>119.4</v>
      </c>
      <c r="O33" s="4">
        <v>142.5</v>
      </c>
      <c r="P33" s="4">
        <v>38.7</v>
      </c>
      <c r="Q33" s="4">
        <v>59.2</v>
      </c>
      <c r="R33" s="4">
        <v>70.4</v>
      </c>
      <c r="S33" s="4">
        <v>119.4</v>
      </c>
      <c r="T33" s="4">
        <v>142.5</v>
      </c>
      <c r="U33" s="4">
        <v>59.2</v>
      </c>
      <c r="V33" s="4">
        <v>70.4</v>
      </c>
      <c r="W33" s="4">
        <v>70.4</v>
      </c>
      <c r="X33" s="40">
        <v>45114</v>
      </c>
    </row>
    <row r="34" spans="1:24">
      <c r="A34" s="4" t="s">
        <v>63</v>
      </c>
      <c r="B34" s="4">
        <v>20046</v>
      </c>
      <c r="C34" s="4" t="s">
        <v>39</v>
      </c>
      <c r="D34" s="37">
        <v>0</v>
      </c>
      <c r="E34" s="4" t="s">
        <v>40</v>
      </c>
      <c r="F34" s="37">
        <v>0.999988425925926</v>
      </c>
      <c r="G34" s="4">
        <v>40.1</v>
      </c>
      <c r="H34" s="4">
        <v>59.2</v>
      </c>
      <c r="I34" s="4">
        <v>72.8</v>
      </c>
      <c r="J34" s="4">
        <v>-1</v>
      </c>
      <c r="K34" s="4">
        <v>-1</v>
      </c>
      <c r="L34" s="4">
        <v>-1</v>
      </c>
      <c r="M34" s="4">
        <v>80.8</v>
      </c>
      <c r="N34" s="4">
        <v>119.4</v>
      </c>
      <c r="O34" s="4">
        <v>146.8</v>
      </c>
      <c r="P34" s="4">
        <v>40.1</v>
      </c>
      <c r="Q34" s="4">
        <v>59.2</v>
      </c>
      <c r="R34" s="4">
        <v>72.8</v>
      </c>
      <c r="S34" s="4">
        <v>119.4</v>
      </c>
      <c r="T34" s="4">
        <v>146.8</v>
      </c>
      <c r="U34" s="4">
        <v>59.2</v>
      </c>
      <c r="V34" s="4">
        <v>72.8</v>
      </c>
      <c r="W34" s="4">
        <v>72.8</v>
      </c>
      <c r="X34" s="40">
        <v>45118</v>
      </c>
    </row>
    <row r="35" spans="1:24">
      <c r="A35" s="4" t="s">
        <v>64</v>
      </c>
      <c r="B35" s="4">
        <v>20048</v>
      </c>
      <c r="C35" s="4" t="s">
        <v>39</v>
      </c>
      <c r="D35" s="37">
        <v>0</v>
      </c>
      <c r="E35" s="4" t="s">
        <v>40</v>
      </c>
      <c r="F35" s="37">
        <v>0.999988425925926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0">
        <v>45142</v>
      </c>
    </row>
    <row r="36" spans="1:24">
      <c r="A36" s="4" t="s">
        <v>65</v>
      </c>
      <c r="B36" s="4">
        <v>20050</v>
      </c>
      <c r="C36" s="4" t="s">
        <v>39</v>
      </c>
      <c r="D36" s="37">
        <v>0</v>
      </c>
      <c r="E36" s="4" t="s">
        <v>40</v>
      </c>
      <c r="F36" s="37">
        <v>0.999988425925926</v>
      </c>
      <c r="G36" s="4">
        <v>41.3</v>
      </c>
      <c r="H36" s="4">
        <v>61.4</v>
      </c>
      <c r="I36" s="4">
        <v>75</v>
      </c>
      <c r="J36" s="4">
        <v>-1</v>
      </c>
      <c r="K36" s="4">
        <v>-1</v>
      </c>
      <c r="L36" s="4">
        <v>-1</v>
      </c>
      <c r="M36" s="4">
        <v>83.5</v>
      </c>
      <c r="N36" s="4">
        <v>124.4</v>
      </c>
      <c r="O36" s="4">
        <v>151.5</v>
      </c>
      <c r="P36" s="4">
        <v>41.3</v>
      </c>
      <c r="Q36" s="4">
        <v>61.4</v>
      </c>
      <c r="R36" s="4">
        <v>75</v>
      </c>
      <c r="S36" s="4">
        <v>124.4</v>
      </c>
      <c r="T36" s="4">
        <v>151.5</v>
      </c>
      <c r="U36" s="4">
        <v>61.4</v>
      </c>
      <c r="V36" s="4">
        <v>75</v>
      </c>
      <c r="W36" s="4">
        <v>75</v>
      </c>
      <c r="X36" s="40">
        <v>45146</v>
      </c>
    </row>
    <row r="37" spans="1:24">
      <c r="A37" s="4" t="s">
        <v>66</v>
      </c>
      <c r="B37" s="4">
        <v>20052</v>
      </c>
      <c r="C37" s="4" t="s">
        <v>39</v>
      </c>
      <c r="D37" s="37">
        <v>0</v>
      </c>
      <c r="E37" s="4" t="s">
        <v>40</v>
      </c>
      <c r="F37" s="37">
        <v>0.999988425925926</v>
      </c>
      <c r="G37" s="4">
        <v>42.3</v>
      </c>
      <c r="H37" s="4">
        <v>61.4</v>
      </c>
      <c r="I37" s="4">
        <v>75</v>
      </c>
      <c r="J37" s="4">
        <v>-1</v>
      </c>
      <c r="K37" s="4">
        <v>-1</v>
      </c>
      <c r="L37" s="4">
        <v>-1</v>
      </c>
      <c r="M37" s="4">
        <v>85.4</v>
      </c>
      <c r="N37" s="4">
        <v>124.4</v>
      </c>
      <c r="O37" s="4">
        <v>151.5</v>
      </c>
      <c r="P37" s="4">
        <v>42.3</v>
      </c>
      <c r="Q37" s="4">
        <v>61.4</v>
      </c>
      <c r="R37" s="4">
        <v>75</v>
      </c>
      <c r="S37" s="4">
        <v>124.4</v>
      </c>
      <c r="T37" s="4">
        <v>151.5</v>
      </c>
      <c r="U37" s="4">
        <v>61.4</v>
      </c>
      <c r="V37" s="4">
        <v>75</v>
      </c>
      <c r="W37" s="4">
        <v>75</v>
      </c>
      <c r="X37" s="40">
        <v>45108</v>
      </c>
    </row>
    <row r="38" spans="1:24">
      <c r="A38" s="4" t="s">
        <v>67</v>
      </c>
      <c r="B38" s="4">
        <v>20054</v>
      </c>
      <c r="C38" s="4" t="s">
        <v>39</v>
      </c>
      <c r="D38" s="37">
        <v>0</v>
      </c>
      <c r="E38" s="4" t="s">
        <v>40</v>
      </c>
      <c r="F38" s="37">
        <v>0.999988425925926</v>
      </c>
      <c r="G38" s="4">
        <v>43.3</v>
      </c>
      <c r="H38" s="4">
        <v>63.6</v>
      </c>
      <c r="I38" s="4">
        <v>77.2</v>
      </c>
      <c r="J38" s="4">
        <v>-1</v>
      </c>
      <c r="K38" s="4">
        <v>-1</v>
      </c>
      <c r="L38" s="4">
        <v>-1</v>
      </c>
      <c r="M38" s="4">
        <v>87.6</v>
      </c>
      <c r="N38" s="4">
        <v>128.6</v>
      </c>
      <c r="O38" s="4">
        <v>156.4</v>
      </c>
      <c r="P38" s="4">
        <v>43.3</v>
      </c>
      <c r="Q38" s="4">
        <v>63.6</v>
      </c>
      <c r="R38" s="4">
        <v>77.2</v>
      </c>
      <c r="S38" s="4">
        <v>128.6</v>
      </c>
      <c r="T38" s="4">
        <v>156.4</v>
      </c>
      <c r="U38" s="4">
        <v>63.6</v>
      </c>
      <c r="V38" s="4">
        <v>77.2</v>
      </c>
      <c r="W38" s="4">
        <v>77.2</v>
      </c>
      <c r="X38" s="40">
        <v>45153</v>
      </c>
    </row>
    <row r="39" spans="1:24">
      <c r="A39" s="4" t="s">
        <v>68</v>
      </c>
      <c r="B39" s="4">
        <v>20058</v>
      </c>
      <c r="C39" s="4" t="s">
        <v>39</v>
      </c>
      <c r="D39" s="37">
        <v>0</v>
      </c>
      <c r="E39" s="4" t="s">
        <v>40</v>
      </c>
      <c r="F39" s="37">
        <v>0.999988425925926</v>
      </c>
      <c r="G39" s="4">
        <v>-1</v>
      </c>
      <c r="H39" s="4">
        <v>-1</v>
      </c>
      <c r="I39" s="4">
        <v>-1</v>
      </c>
      <c r="J39" s="4">
        <v>-1</v>
      </c>
      <c r="K39" s="4">
        <v>-1</v>
      </c>
      <c r="L39" s="4">
        <v>-1</v>
      </c>
      <c r="M39" s="4">
        <v>-1</v>
      </c>
      <c r="N39" s="4">
        <v>-1</v>
      </c>
      <c r="O39" s="4">
        <v>-1</v>
      </c>
      <c r="P39" s="4">
        <v>-1</v>
      </c>
      <c r="Q39" s="4">
        <v>-1</v>
      </c>
      <c r="R39" s="4">
        <v>-1</v>
      </c>
      <c r="S39" s="4">
        <v>-1</v>
      </c>
      <c r="T39" s="4">
        <v>-1</v>
      </c>
      <c r="U39" s="4">
        <v>-1</v>
      </c>
      <c r="V39" s="4">
        <v>-1</v>
      </c>
      <c r="W39" s="4">
        <v>-1</v>
      </c>
      <c r="X39" s="40">
        <v>45150</v>
      </c>
    </row>
    <row r="40" spans="1:24">
      <c r="A40" s="4" t="s">
        <v>69</v>
      </c>
      <c r="B40" s="4">
        <v>20060</v>
      </c>
      <c r="C40" s="4" t="s">
        <v>39</v>
      </c>
      <c r="D40" s="37">
        <v>0</v>
      </c>
      <c r="E40" s="4" t="s">
        <v>40</v>
      </c>
      <c r="F40" s="37">
        <v>0.999988425925926</v>
      </c>
      <c r="G40" s="4">
        <v>45</v>
      </c>
      <c r="H40" s="4">
        <v>65.9</v>
      </c>
      <c r="I40" s="4">
        <v>79.4</v>
      </c>
      <c r="J40" s="4">
        <v>-1</v>
      </c>
      <c r="K40" s="4">
        <v>-1</v>
      </c>
      <c r="L40" s="4">
        <v>-1</v>
      </c>
      <c r="M40" s="4">
        <v>90.9</v>
      </c>
      <c r="N40" s="4">
        <v>133.4</v>
      </c>
      <c r="O40" s="4">
        <v>160.9</v>
      </c>
      <c r="P40" s="4">
        <v>45</v>
      </c>
      <c r="Q40" s="4">
        <v>65.9</v>
      </c>
      <c r="R40" s="4">
        <v>79.4</v>
      </c>
      <c r="S40" s="4">
        <v>133.4</v>
      </c>
      <c r="T40" s="4">
        <v>160.9</v>
      </c>
      <c r="U40" s="4">
        <v>65.9</v>
      </c>
      <c r="V40" s="4">
        <v>79.4</v>
      </c>
      <c r="W40" s="4">
        <v>79.4</v>
      </c>
      <c r="X40" s="40">
        <v>45157</v>
      </c>
    </row>
    <row r="41" spans="1:24">
      <c r="A41" s="4" t="s">
        <v>70</v>
      </c>
      <c r="B41" s="4">
        <v>21000</v>
      </c>
      <c r="C41" s="4" t="s">
        <v>39</v>
      </c>
      <c r="D41" s="37">
        <v>0</v>
      </c>
      <c r="E41" s="4" t="s">
        <v>40</v>
      </c>
      <c r="F41" s="37">
        <v>0.999988425925926</v>
      </c>
      <c r="G41" s="4">
        <v>-1</v>
      </c>
      <c r="H41" s="4">
        <v>-1</v>
      </c>
      <c r="I41" s="4">
        <v>-1</v>
      </c>
      <c r="J41" s="4">
        <v>-1</v>
      </c>
      <c r="K41" s="4">
        <v>-1</v>
      </c>
      <c r="L41" s="4">
        <v>-1</v>
      </c>
      <c r="M41" s="4">
        <v>-1</v>
      </c>
      <c r="N41" s="4">
        <v>-1</v>
      </c>
      <c r="O41" s="4">
        <v>-1</v>
      </c>
      <c r="P41" s="4">
        <v>-1</v>
      </c>
      <c r="Q41" s="4">
        <v>-1</v>
      </c>
      <c r="R41" s="4">
        <v>-1</v>
      </c>
      <c r="S41" s="4">
        <v>-1</v>
      </c>
      <c r="T41" s="4">
        <v>-1</v>
      </c>
      <c r="U41" s="4">
        <v>-1</v>
      </c>
      <c r="V41" s="4">
        <v>-1</v>
      </c>
      <c r="W41" s="4">
        <v>-1</v>
      </c>
      <c r="X41" s="40">
        <v>45143</v>
      </c>
    </row>
    <row r="42" spans="1:24">
      <c r="A42" s="4" t="s">
        <v>71</v>
      </c>
      <c r="B42" s="4">
        <v>21002</v>
      </c>
      <c r="C42" s="4" t="s">
        <v>39</v>
      </c>
      <c r="D42" s="37">
        <v>0</v>
      </c>
      <c r="E42" s="4" t="s">
        <v>40</v>
      </c>
      <c r="F42" s="37">
        <v>0.999988425925926</v>
      </c>
      <c r="G42" s="4">
        <v>41.5</v>
      </c>
      <c r="H42" s="4">
        <v>61.4</v>
      </c>
      <c r="I42" s="4">
        <v>75</v>
      </c>
      <c r="J42" s="4">
        <v>-1</v>
      </c>
      <c r="K42" s="4">
        <v>-1</v>
      </c>
      <c r="L42" s="4">
        <v>-1</v>
      </c>
      <c r="M42" s="4">
        <v>84.6</v>
      </c>
      <c r="N42" s="4">
        <v>124.4</v>
      </c>
      <c r="O42" s="4">
        <v>151.5</v>
      </c>
      <c r="P42" s="4">
        <v>41.5</v>
      </c>
      <c r="Q42" s="4">
        <v>61.4</v>
      </c>
      <c r="R42" s="4">
        <v>75</v>
      </c>
      <c r="S42" s="4">
        <v>124.4</v>
      </c>
      <c r="T42" s="4">
        <v>151.5</v>
      </c>
      <c r="U42" s="4">
        <v>61.4</v>
      </c>
      <c r="V42" s="4">
        <v>75</v>
      </c>
      <c r="W42" s="4">
        <v>75</v>
      </c>
      <c r="X42" s="40">
        <v>45166</v>
      </c>
    </row>
    <row r="43" spans="1:24">
      <c r="A43" s="4" t="s">
        <v>72</v>
      </c>
      <c r="B43" s="4">
        <v>21004</v>
      </c>
      <c r="C43" s="4" t="s">
        <v>39</v>
      </c>
      <c r="D43" s="37">
        <v>0</v>
      </c>
      <c r="E43" s="4" t="s">
        <v>40</v>
      </c>
      <c r="F43" s="37">
        <v>0.999988425925926</v>
      </c>
      <c r="G43" s="4">
        <v>43.3</v>
      </c>
      <c r="H43" s="4">
        <v>63.6</v>
      </c>
      <c r="I43" s="4">
        <v>79.4</v>
      </c>
      <c r="J43" s="4">
        <v>-1</v>
      </c>
      <c r="K43" s="4">
        <v>-1</v>
      </c>
      <c r="L43" s="4">
        <v>-1</v>
      </c>
      <c r="M43" s="4">
        <v>87.6</v>
      </c>
      <c r="N43" s="4">
        <v>128.6</v>
      </c>
      <c r="O43" s="4">
        <v>160.9</v>
      </c>
      <c r="P43" s="4">
        <v>43.3</v>
      </c>
      <c r="Q43" s="4">
        <v>63.6</v>
      </c>
      <c r="R43" s="4">
        <v>79.4</v>
      </c>
      <c r="S43" s="4">
        <v>128.6</v>
      </c>
      <c r="T43" s="4">
        <v>160.9</v>
      </c>
      <c r="U43" s="4">
        <v>63.6</v>
      </c>
      <c r="V43" s="4">
        <v>79.4</v>
      </c>
      <c r="W43" s="4">
        <v>79.4</v>
      </c>
      <c r="X43" s="40">
        <v>45162</v>
      </c>
    </row>
    <row r="44" spans="1:24">
      <c r="A44" s="4" t="s">
        <v>73</v>
      </c>
      <c r="B44" s="4">
        <v>21006</v>
      </c>
      <c r="C44" s="4" t="s">
        <v>39</v>
      </c>
      <c r="D44" s="37">
        <v>0</v>
      </c>
      <c r="E44" s="4" t="s">
        <v>40</v>
      </c>
      <c r="F44" s="37">
        <v>0.999988425925926</v>
      </c>
      <c r="G44" s="4">
        <v>44.5</v>
      </c>
      <c r="H44" s="4">
        <v>65.9</v>
      </c>
      <c r="I44" s="4">
        <v>81.8</v>
      </c>
      <c r="J44" s="4">
        <v>-1</v>
      </c>
      <c r="K44" s="4">
        <v>-1</v>
      </c>
      <c r="L44" s="4">
        <v>-1</v>
      </c>
      <c r="M44" s="4">
        <v>89.9</v>
      </c>
      <c r="N44" s="4">
        <v>133.4</v>
      </c>
      <c r="O44" s="4">
        <v>165.3</v>
      </c>
      <c r="P44" s="4">
        <v>44.5</v>
      </c>
      <c r="Q44" s="4">
        <v>65.9</v>
      </c>
      <c r="R44" s="4">
        <v>81.8</v>
      </c>
      <c r="S44" s="4">
        <v>133.4</v>
      </c>
      <c r="T44" s="4">
        <v>165.3</v>
      </c>
      <c r="U44" s="4">
        <v>65.9</v>
      </c>
      <c r="V44" s="4">
        <v>81.8</v>
      </c>
      <c r="W44" s="4">
        <v>81.8</v>
      </c>
      <c r="X44" s="40">
        <v>45160</v>
      </c>
    </row>
    <row r="45" spans="1:24">
      <c r="A45" s="4" t="s">
        <v>74</v>
      </c>
      <c r="B45" s="4">
        <v>21008</v>
      </c>
      <c r="C45" s="4" t="s">
        <v>39</v>
      </c>
      <c r="D45" s="37">
        <v>0</v>
      </c>
      <c r="E45" s="4" t="s">
        <v>40</v>
      </c>
      <c r="F45" s="37">
        <v>0.999988425925926</v>
      </c>
      <c r="G45" s="4">
        <v>47.3</v>
      </c>
      <c r="H45" s="4">
        <v>70.4</v>
      </c>
      <c r="I45" s="4">
        <v>86.4</v>
      </c>
      <c r="J45" s="4">
        <v>-1</v>
      </c>
      <c r="K45" s="4">
        <v>-1</v>
      </c>
      <c r="L45" s="4">
        <v>-1</v>
      </c>
      <c r="M45" s="4">
        <v>95.6</v>
      </c>
      <c r="N45" s="4">
        <v>142.5</v>
      </c>
      <c r="O45" s="4">
        <v>174.2</v>
      </c>
      <c r="P45" s="4">
        <v>47.3</v>
      </c>
      <c r="Q45" s="4">
        <v>70.4</v>
      </c>
      <c r="R45" s="4">
        <v>86.4</v>
      </c>
      <c r="S45" s="4">
        <v>142.5</v>
      </c>
      <c r="T45" s="4">
        <v>174.2</v>
      </c>
      <c r="U45" s="4">
        <v>70.4</v>
      </c>
      <c r="V45" s="4">
        <v>86.4</v>
      </c>
      <c r="W45" s="4">
        <v>86.4</v>
      </c>
      <c r="X45" s="40">
        <v>45179</v>
      </c>
    </row>
    <row r="46" spans="1:24">
      <c r="A46" s="4" t="s">
        <v>75</v>
      </c>
      <c r="B46" s="4">
        <v>21010</v>
      </c>
      <c r="C46" s="4" t="s">
        <v>39</v>
      </c>
      <c r="D46" s="37">
        <v>0</v>
      </c>
      <c r="E46" s="4" t="s">
        <v>40</v>
      </c>
      <c r="F46" s="37">
        <v>0.999988425925926</v>
      </c>
      <c r="G46" s="4">
        <v>48.3</v>
      </c>
      <c r="H46" s="4">
        <v>72</v>
      </c>
      <c r="I46" s="4">
        <v>89</v>
      </c>
      <c r="J46" s="4">
        <v>-1</v>
      </c>
      <c r="K46" s="4">
        <v>-1</v>
      </c>
      <c r="L46" s="4">
        <v>-1</v>
      </c>
      <c r="M46" s="4">
        <v>97.9</v>
      </c>
      <c r="N46" s="4">
        <v>145.5</v>
      </c>
      <c r="O46" s="4">
        <v>179.8</v>
      </c>
      <c r="P46" s="4">
        <v>48.3</v>
      </c>
      <c r="Q46" s="4">
        <v>72</v>
      </c>
      <c r="R46" s="4">
        <v>89</v>
      </c>
      <c r="S46" s="4">
        <v>145.5</v>
      </c>
      <c r="T46" s="4">
        <v>179.8</v>
      </c>
      <c r="U46" s="4">
        <v>72</v>
      </c>
      <c r="V46" s="4">
        <v>89</v>
      </c>
      <c r="W46" s="4">
        <v>89</v>
      </c>
      <c r="X46" s="40">
        <v>45157</v>
      </c>
    </row>
    <row r="47" spans="1:24">
      <c r="A47" s="4" t="s">
        <v>76</v>
      </c>
      <c r="B47" s="4">
        <v>21012</v>
      </c>
      <c r="C47" s="4" t="s">
        <v>39</v>
      </c>
      <c r="D47" s="37">
        <v>0</v>
      </c>
      <c r="E47" s="4" t="s">
        <v>40</v>
      </c>
      <c r="F47" s="37">
        <v>0.999988425925926</v>
      </c>
      <c r="G47" s="4">
        <v>49.1</v>
      </c>
      <c r="H47" s="4">
        <v>72.8</v>
      </c>
      <c r="I47" s="4">
        <v>90.9</v>
      </c>
      <c r="J47" s="4">
        <v>-1</v>
      </c>
      <c r="K47" s="4">
        <v>-1</v>
      </c>
      <c r="L47" s="4">
        <v>-1</v>
      </c>
      <c r="M47" s="4">
        <v>99.5</v>
      </c>
      <c r="N47" s="4">
        <v>146.8</v>
      </c>
      <c r="O47" s="4">
        <v>183.5</v>
      </c>
      <c r="P47" s="4">
        <v>49.1</v>
      </c>
      <c r="Q47" s="4">
        <v>72.8</v>
      </c>
      <c r="R47" s="4">
        <v>90.9</v>
      </c>
      <c r="S47" s="4">
        <v>146.8</v>
      </c>
      <c r="T47" s="4">
        <v>183.5</v>
      </c>
      <c r="U47" s="4">
        <v>72.8</v>
      </c>
      <c r="V47" s="4">
        <v>90.9</v>
      </c>
      <c r="W47" s="4">
        <v>90.9</v>
      </c>
      <c r="X47" s="40">
        <v>45143</v>
      </c>
    </row>
    <row r="48" spans="1:24">
      <c r="A48" s="4" t="s">
        <v>77</v>
      </c>
      <c r="B48" s="4">
        <v>21014</v>
      </c>
      <c r="C48" s="4" t="s">
        <v>39</v>
      </c>
      <c r="D48" s="37">
        <v>0</v>
      </c>
      <c r="E48" s="4" t="s">
        <v>40</v>
      </c>
      <c r="F48" s="37">
        <v>0.999988425925926</v>
      </c>
      <c r="G48" s="4">
        <v>50.6</v>
      </c>
      <c r="H48" s="4">
        <v>75</v>
      </c>
      <c r="I48" s="4">
        <v>93.1</v>
      </c>
      <c r="J48" s="4">
        <v>-1</v>
      </c>
      <c r="K48" s="4">
        <v>-1</v>
      </c>
      <c r="L48" s="4">
        <v>-1</v>
      </c>
      <c r="M48" s="4">
        <v>102.6</v>
      </c>
      <c r="N48" s="4">
        <v>151.5</v>
      </c>
      <c r="O48" s="4">
        <v>188.1</v>
      </c>
      <c r="P48" s="4">
        <v>50.6</v>
      </c>
      <c r="Q48" s="4">
        <v>75</v>
      </c>
      <c r="R48" s="4">
        <v>93.1</v>
      </c>
      <c r="S48" s="4">
        <v>151.5</v>
      </c>
      <c r="T48" s="4">
        <v>188.1</v>
      </c>
      <c r="U48" s="4">
        <v>75</v>
      </c>
      <c r="V48" s="4">
        <v>93.1</v>
      </c>
      <c r="W48" s="4">
        <v>93.1</v>
      </c>
      <c r="X48" s="40">
        <v>45166</v>
      </c>
    </row>
    <row r="49" spans="1:24">
      <c r="A49" s="4" t="s">
        <v>78</v>
      </c>
      <c r="B49" s="4">
        <v>21016</v>
      </c>
      <c r="C49" s="4" t="s">
        <v>39</v>
      </c>
      <c r="D49" s="37">
        <v>0</v>
      </c>
      <c r="E49" s="4" t="s">
        <v>40</v>
      </c>
      <c r="F49" s="37">
        <v>0.999988425925926</v>
      </c>
      <c r="G49" s="4">
        <v>51.8</v>
      </c>
      <c r="H49" s="4">
        <v>77.2</v>
      </c>
      <c r="I49" s="4">
        <v>93.1</v>
      </c>
      <c r="J49" s="4">
        <v>-1</v>
      </c>
      <c r="K49" s="4">
        <v>-1</v>
      </c>
      <c r="L49" s="4">
        <v>-1</v>
      </c>
      <c r="M49" s="4">
        <v>104.5</v>
      </c>
      <c r="N49" s="4">
        <v>156.4</v>
      </c>
      <c r="O49" s="4">
        <v>188.1</v>
      </c>
      <c r="P49" s="4">
        <v>51.8</v>
      </c>
      <c r="Q49" s="4">
        <v>77.2</v>
      </c>
      <c r="R49" s="4">
        <v>93.1</v>
      </c>
      <c r="S49" s="4">
        <v>156.4</v>
      </c>
      <c r="T49" s="4">
        <v>188.1</v>
      </c>
      <c r="U49" s="4">
        <v>77.2</v>
      </c>
      <c r="V49" s="4">
        <v>93.1</v>
      </c>
      <c r="W49" s="4">
        <v>93.1</v>
      </c>
      <c r="X49" s="40">
        <v>45162</v>
      </c>
    </row>
  </sheetData>
  <conditionalFormatting sqref="A10:A49">
    <cfRule type="duplicateValues" dxfId="0" priority="5"/>
  </conditionalFormatting>
  <conditionalFormatting sqref="B10:B49">
    <cfRule type="duplicateValues" dxfId="0" priority="4"/>
  </conditionalFormatting>
  <conditionalFormatting sqref="$A10:$XFD49">
    <cfRule type="cellIs" priority="3" operator="equal">
      <formula>-1</formula>
    </cfRule>
    <cfRule type="cellIs" dxfId="1" priority="2" operator="equal">
      <formula>-1</formula>
    </cfRule>
    <cfRule type="cellIs" dxfId="2" priority="1" operator="equal">
      <formula>0</formula>
    </cfRule>
  </conditionalFormatting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topLeftCell="A4" workbookViewId="0">
      <selection activeCell="I10" sqref="I10"/>
    </sheetView>
  </sheetViews>
  <sheetFormatPr defaultColWidth="11" defaultRowHeight="12.4" outlineLevelCol="6"/>
  <cols>
    <col min="1" max="1" width="18.5961538461538" style="1" customWidth="1"/>
    <col min="2" max="6" width="15.3942307692308" style="1" customWidth="1"/>
    <col min="7" max="7" width="11" style="1"/>
    <col min="8" max="8" width="14.3942307692308" style="1" customWidth="1"/>
    <col min="9" max="16384" width="11" style="1"/>
  </cols>
  <sheetData>
    <row r="1" s="3" customFormat="1" ht="20" spans="1:2">
      <c r="A1" s="2" t="s">
        <v>9</v>
      </c>
      <c r="B1" s="3" t="s">
        <v>90</v>
      </c>
    </row>
    <row r="2" s="3" customFormat="1" ht="19.6" spans="2:2">
      <c r="B2" s="3" t="s">
        <v>91</v>
      </c>
    </row>
    <row r="3" ht="14" spans="1:7">
      <c r="A3" s="4"/>
      <c r="B3" s="4"/>
      <c r="C3" s="4"/>
      <c r="D3" s="4"/>
      <c r="E3" s="4"/>
      <c r="F3" s="4"/>
      <c r="G3" s="4"/>
    </row>
    <row r="4" ht="22.4" spans="1:7">
      <c r="A4" s="7" t="s">
        <v>92</v>
      </c>
      <c r="B4" s="4"/>
      <c r="C4" s="4"/>
      <c r="D4" s="4"/>
      <c r="E4" s="4"/>
      <c r="F4" s="4"/>
      <c r="G4" s="4"/>
    </row>
    <row r="5" ht="14" spans="1:6">
      <c r="A5" s="25" t="s">
        <v>14</v>
      </c>
      <c r="B5" s="26" t="s">
        <v>20</v>
      </c>
      <c r="C5" s="27" t="s">
        <v>27</v>
      </c>
      <c r="D5" s="26" t="s">
        <v>31</v>
      </c>
      <c r="E5" s="27" t="s">
        <v>33</v>
      </c>
      <c r="F5" s="29" t="s">
        <v>35</v>
      </c>
    </row>
    <row r="6" ht="14" spans="1:6">
      <c r="A6" s="13" t="s">
        <v>38</v>
      </c>
      <c r="B6" s="4">
        <v>2.7</v>
      </c>
      <c r="C6" s="4">
        <v>5.3</v>
      </c>
      <c r="D6" s="4">
        <v>4.2</v>
      </c>
      <c r="E6" s="4">
        <v>8.9</v>
      </c>
      <c r="F6" s="4">
        <v>4.2</v>
      </c>
    </row>
    <row r="7" ht="14" spans="1:6">
      <c r="A7" s="13" t="s">
        <v>41</v>
      </c>
      <c r="B7" s="4">
        <v>2.7</v>
      </c>
      <c r="C7" s="4">
        <v>5.3</v>
      </c>
      <c r="D7" s="14"/>
      <c r="E7" s="14"/>
      <c r="F7" s="4">
        <v>4.2</v>
      </c>
    </row>
    <row r="8" ht="14" spans="1:6">
      <c r="A8" s="13" t="s">
        <v>42</v>
      </c>
      <c r="B8" s="14"/>
      <c r="C8" s="14"/>
      <c r="D8" s="14"/>
      <c r="E8" s="14"/>
      <c r="F8" s="30"/>
    </row>
    <row r="9" ht="14" spans="1:6">
      <c r="A9" s="13" t="s">
        <v>43</v>
      </c>
      <c r="B9" s="14"/>
      <c r="C9" s="14"/>
      <c r="D9" s="14"/>
      <c r="E9" s="14"/>
      <c r="F9" s="30"/>
    </row>
    <row r="10" ht="14" spans="1:6">
      <c r="A10" s="13" t="s">
        <v>46</v>
      </c>
      <c r="B10" s="14"/>
      <c r="C10" s="14"/>
      <c r="D10" s="14"/>
      <c r="E10" s="14"/>
      <c r="F10" s="30"/>
    </row>
    <row r="11" ht="14" spans="1:6">
      <c r="A11" s="13" t="s">
        <v>47</v>
      </c>
      <c r="B11" s="14"/>
      <c r="C11" s="14"/>
      <c r="D11" s="14"/>
      <c r="E11" s="14"/>
      <c r="F11" s="30"/>
    </row>
    <row r="12" ht="14" spans="1:6">
      <c r="A12" s="13" t="s">
        <v>49</v>
      </c>
      <c r="B12" s="14"/>
      <c r="C12" s="14"/>
      <c r="D12" s="14"/>
      <c r="E12" s="14"/>
      <c r="F12" s="30"/>
    </row>
    <row r="13" ht="14" spans="1:6">
      <c r="A13" s="13" t="s">
        <v>50</v>
      </c>
      <c r="B13" s="14"/>
      <c r="C13" s="14"/>
      <c r="D13" s="14"/>
      <c r="E13" s="14"/>
      <c r="F13" s="30"/>
    </row>
    <row r="14" ht="14" spans="1:6">
      <c r="A14" s="13" t="s">
        <v>51</v>
      </c>
      <c r="B14" s="14"/>
      <c r="C14" s="14"/>
      <c r="D14" s="14"/>
      <c r="E14" s="14"/>
      <c r="F14" s="30"/>
    </row>
    <row r="15" ht="14" spans="1:6">
      <c r="A15" s="13" t="s">
        <v>53</v>
      </c>
      <c r="B15" s="14"/>
      <c r="C15" s="14"/>
      <c r="D15" s="14"/>
      <c r="E15" s="14"/>
      <c r="F15" s="30"/>
    </row>
    <row r="16" ht="14" spans="1:6">
      <c r="A16" s="13" t="s">
        <v>55</v>
      </c>
      <c r="B16" s="14"/>
      <c r="C16" s="14"/>
      <c r="D16" s="14"/>
      <c r="E16" s="14"/>
      <c r="F16" s="30"/>
    </row>
    <row r="17" ht="14" spans="1:6">
      <c r="A17" s="13" t="s">
        <v>57</v>
      </c>
      <c r="B17" s="14"/>
      <c r="C17" s="14"/>
      <c r="D17" s="14"/>
      <c r="E17" s="14"/>
      <c r="F17" s="30"/>
    </row>
    <row r="18" ht="14" spans="1:6">
      <c r="A18" s="13" t="s">
        <v>58</v>
      </c>
      <c r="B18" s="14"/>
      <c r="C18" s="14"/>
      <c r="D18" s="14"/>
      <c r="E18" s="14"/>
      <c r="F18" s="30"/>
    </row>
    <row r="19" ht="14" spans="1:6">
      <c r="A19" s="13" t="s">
        <v>59</v>
      </c>
      <c r="B19" s="14"/>
      <c r="C19" s="14"/>
      <c r="D19" s="14"/>
      <c r="E19" s="14"/>
      <c r="F19" s="30"/>
    </row>
    <row r="20" ht="14" spans="1:6">
      <c r="A20" s="13" t="s">
        <v>64</v>
      </c>
      <c r="B20" s="14"/>
      <c r="C20" s="14"/>
      <c r="D20" s="14"/>
      <c r="E20" s="14"/>
      <c r="F20" s="30"/>
    </row>
    <row r="21" ht="14" spans="1:6">
      <c r="A21" s="13" t="s">
        <v>65</v>
      </c>
      <c r="B21" s="14"/>
      <c r="C21" s="14"/>
      <c r="D21" s="14"/>
      <c r="E21" s="14"/>
      <c r="F21" s="30"/>
    </row>
    <row r="22" ht="14" spans="1:6">
      <c r="A22" s="13" t="s">
        <v>68</v>
      </c>
      <c r="B22" s="14"/>
      <c r="C22" s="14"/>
      <c r="D22" s="14"/>
      <c r="E22" s="14"/>
      <c r="F22" s="30"/>
    </row>
    <row r="23" ht="14" spans="1:6">
      <c r="A23" s="13" t="s">
        <v>69</v>
      </c>
      <c r="B23" s="14"/>
      <c r="C23" s="14"/>
      <c r="D23" s="14"/>
      <c r="E23" s="14"/>
      <c r="F23" s="30"/>
    </row>
    <row r="24" ht="14" spans="1:6">
      <c r="A24" s="13" t="s">
        <v>70</v>
      </c>
      <c r="B24" s="14"/>
      <c r="C24" s="14"/>
      <c r="D24" s="14"/>
      <c r="E24" s="14"/>
      <c r="F24" s="30"/>
    </row>
    <row r="25" ht="14" spans="1:6">
      <c r="A25" s="13" t="s">
        <v>72</v>
      </c>
      <c r="B25" s="14"/>
      <c r="C25" s="14"/>
      <c r="D25" s="14"/>
      <c r="E25" s="14"/>
      <c r="F25" s="30"/>
    </row>
    <row r="26" ht="14" spans="1:6">
      <c r="A26" s="13" t="s">
        <v>76</v>
      </c>
      <c r="B26" s="14"/>
      <c r="C26" s="14"/>
      <c r="D26" s="14"/>
      <c r="E26" s="14"/>
      <c r="F26" s="30"/>
    </row>
    <row r="27" ht="14" spans="1:6">
      <c r="A27" s="13" t="s">
        <v>78</v>
      </c>
      <c r="B27" s="14"/>
      <c r="C27" s="14"/>
      <c r="D27" s="14"/>
      <c r="E27" s="14"/>
      <c r="F27" s="30"/>
    </row>
    <row r="28" ht="14" spans="1:6">
      <c r="A28" s="17" t="s">
        <v>93</v>
      </c>
      <c r="B28" s="28"/>
      <c r="C28" s="28"/>
      <c r="D28" s="28"/>
      <c r="E28" s="28"/>
      <c r="F28" s="28"/>
    </row>
    <row r="29" ht="14" spans="1:6">
      <c r="A29" s="17" t="s">
        <v>94</v>
      </c>
      <c r="B29" s="28"/>
      <c r="C29" s="28"/>
      <c r="D29" s="28"/>
      <c r="E29" s="28"/>
      <c r="F29" s="28"/>
    </row>
    <row r="30" ht="14" spans="1:6">
      <c r="A30" s="17" t="s">
        <v>95</v>
      </c>
      <c r="B30" s="28"/>
      <c r="C30" s="28"/>
      <c r="D30" s="28"/>
      <c r="E30" s="28"/>
      <c r="F30" s="28"/>
    </row>
  </sheetData>
  <conditionalFormatting sqref="B6">
    <cfRule type="cellIs" dxfId="1" priority="12" operator="equal">
      <formula>-1</formula>
    </cfRule>
    <cfRule type="cellIs" dxfId="2" priority="11" operator="equal">
      <formula>0</formula>
    </cfRule>
  </conditionalFormatting>
  <conditionalFormatting sqref="C6">
    <cfRule type="cellIs" dxfId="1" priority="10" operator="equal">
      <formula>-1</formula>
    </cfRule>
    <cfRule type="cellIs" dxfId="2" priority="9" operator="equal">
      <formula>0</formula>
    </cfRule>
  </conditionalFormatting>
  <conditionalFormatting sqref="D6">
    <cfRule type="cellIs" dxfId="1" priority="8" operator="equal">
      <formula>-1</formula>
    </cfRule>
    <cfRule type="cellIs" dxfId="2" priority="7" operator="equal">
      <formula>0</formula>
    </cfRule>
  </conditionalFormatting>
  <conditionalFormatting sqref="E6">
    <cfRule type="cellIs" dxfId="1" priority="6" operator="equal">
      <formula>-1</formula>
    </cfRule>
    <cfRule type="cellIs" dxfId="2" priority="5" operator="equal">
      <formula>0</formula>
    </cfRule>
  </conditionalFormatting>
  <conditionalFormatting sqref="F6">
    <cfRule type="cellIs" dxfId="1" priority="4" operator="equal">
      <formula>-1</formula>
    </cfRule>
    <cfRule type="cellIs" dxfId="2" priority="3" operator="equal">
      <formula>0</formula>
    </cfRule>
  </conditionalFormatting>
  <conditionalFormatting sqref="F7 B7:C7">
    <cfRule type="cellIs" dxfId="2" priority="1" operator="equal">
      <formula>0</formula>
    </cfRule>
    <cfRule type="cellIs" dxfId="1" priority="2" operator="equal">
      <formula>-1</formula>
    </cfRule>
  </conditionalFormatting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4"/>
  <sheetViews>
    <sheetView zoomScale="107" zoomScaleNormal="107" workbookViewId="0">
      <selection activeCell="R9" sqref="R9"/>
    </sheetView>
  </sheetViews>
  <sheetFormatPr defaultColWidth="11" defaultRowHeight="14"/>
  <cols>
    <col min="1" max="1" width="39.7980769230769" style="4" customWidth="1"/>
    <col min="2" max="16384" width="11" style="4"/>
  </cols>
  <sheetData>
    <row r="1" s="3" customFormat="1" ht="20" spans="1:2">
      <c r="A1" s="2" t="s">
        <v>10</v>
      </c>
      <c r="B1" s="3" t="s">
        <v>96</v>
      </c>
    </row>
    <row r="2" customFormat="1"/>
    <row r="3" s="1" customFormat="1" spans="2:2">
      <c r="B3" s="4"/>
    </row>
    <row r="4" s="1" customFormat="1" spans="2:2">
      <c r="B4" s="4" t="s">
        <v>97</v>
      </c>
    </row>
    <row r="5" ht="17.6" spans="1:2">
      <c r="A5" s="5" t="s">
        <v>98</v>
      </c>
      <c r="B5" s="18" t="s">
        <v>99</v>
      </c>
    </row>
    <row r="6" ht="17.6" spans="1:2">
      <c r="A6" s="5" t="s">
        <v>100</v>
      </c>
      <c r="B6" s="18" t="s">
        <v>101</v>
      </c>
    </row>
    <row r="7" ht="17.6" spans="1:2">
      <c r="A7" s="5"/>
      <c r="B7" s="18"/>
    </row>
    <row r="9" ht="22.4" spans="1:10">
      <c r="A9" s="7" t="s">
        <v>102</v>
      </c>
      <c r="I9" s="1"/>
      <c r="J9" s="1"/>
    </row>
    <row r="10" spans="1:10">
      <c r="A10" s="23" t="s">
        <v>103</v>
      </c>
      <c r="B10" s="11" t="s">
        <v>104</v>
      </c>
      <c r="C10" s="11" t="s">
        <v>105</v>
      </c>
      <c r="D10" s="11" t="s">
        <v>106</v>
      </c>
      <c r="E10" s="11" t="s">
        <v>107</v>
      </c>
      <c r="F10" s="11" t="s">
        <v>108</v>
      </c>
      <c r="I10" s="1"/>
      <c r="J10" s="1"/>
    </row>
    <row r="11" spans="1:10">
      <c r="A11" s="15" t="s">
        <v>109</v>
      </c>
      <c r="B11" s="16">
        <v>20000</v>
      </c>
      <c r="C11" s="16" t="s">
        <v>39</v>
      </c>
      <c r="D11" s="16">
        <v>0</v>
      </c>
      <c r="E11" s="24" t="s">
        <v>40</v>
      </c>
      <c r="F11" s="24">
        <v>24</v>
      </c>
      <c r="I11" s="1"/>
      <c r="J11" s="1"/>
    </row>
    <row r="14" ht="22.4" spans="1:1">
      <c r="A14" s="7" t="s">
        <v>92</v>
      </c>
    </row>
    <row r="15" spans="1:6">
      <c r="A15" s="11" t="s">
        <v>110</v>
      </c>
      <c r="B15" s="11" t="s">
        <v>104</v>
      </c>
      <c r="C15" s="11" t="s">
        <v>105</v>
      </c>
      <c r="D15" s="11" t="s">
        <v>106</v>
      </c>
      <c r="E15" s="11" t="s">
        <v>107</v>
      </c>
      <c r="F15" s="11" t="s">
        <v>108</v>
      </c>
    </row>
    <row r="16" spans="1:6">
      <c r="A16" s="11" t="s">
        <v>109</v>
      </c>
      <c r="B16" s="11">
        <v>20000</v>
      </c>
      <c r="C16" s="11" t="s">
        <v>39</v>
      </c>
      <c r="D16" s="11">
        <v>0</v>
      </c>
      <c r="E16" s="11" t="s">
        <v>40</v>
      </c>
      <c r="F16" s="11">
        <v>24</v>
      </c>
    </row>
    <row r="17" spans="1:6">
      <c r="A17" s="11" t="s">
        <v>111</v>
      </c>
      <c r="B17" s="11">
        <v>20002</v>
      </c>
      <c r="C17" s="11" t="s">
        <v>39</v>
      </c>
      <c r="D17" s="11">
        <v>0</v>
      </c>
      <c r="E17" s="11" t="s">
        <v>40</v>
      </c>
      <c r="F17" s="11">
        <v>24</v>
      </c>
    </row>
    <row r="18" spans="1:6">
      <c r="A18" s="11" t="s">
        <v>112</v>
      </c>
      <c r="B18" s="11">
        <v>20004</v>
      </c>
      <c r="C18" s="11" t="s">
        <v>39</v>
      </c>
      <c r="D18" s="11">
        <v>0</v>
      </c>
      <c r="E18" s="11" t="s">
        <v>40</v>
      </c>
      <c r="F18" s="11">
        <v>24</v>
      </c>
    </row>
    <row r="19" spans="1:6">
      <c r="A19" s="11" t="s">
        <v>113</v>
      </c>
      <c r="B19" s="11">
        <v>20006</v>
      </c>
      <c r="C19" s="11" t="s">
        <v>39</v>
      </c>
      <c r="D19" s="11">
        <v>0</v>
      </c>
      <c r="E19" s="11" t="s">
        <v>40</v>
      </c>
      <c r="F19" s="11">
        <v>24</v>
      </c>
    </row>
    <row r="20" spans="1:6">
      <c r="A20" s="11" t="s">
        <v>114</v>
      </c>
      <c r="B20" s="11">
        <v>20008</v>
      </c>
      <c r="C20" s="11" t="s">
        <v>39</v>
      </c>
      <c r="D20" s="11">
        <v>0</v>
      </c>
      <c r="E20" s="11" t="s">
        <v>40</v>
      </c>
      <c r="F20" s="11">
        <v>24</v>
      </c>
    </row>
    <row r="21" spans="1:6">
      <c r="A21" s="11" t="s">
        <v>115</v>
      </c>
      <c r="B21" s="11">
        <v>20010</v>
      </c>
      <c r="C21" s="11" t="s">
        <v>39</v>
      </c>
      <c r="D21" s="11">
        <v>0</v>
      </c>
      <c r="E21" s="11" t="s">
        <v>40</v>
      </c>
      <c r="F21" s="11">
        <v>24</v>
      </c>
    </row>
    <row r="22" spans="1:6">
      <c r="A22" s="11" t="s">
        <v>116</v>
      </c>
      <c r="B22" s="11">
        <v>20012</v>
      </c>
      <c r="C22" s="11" t="s">
        <v>39</v>
      </c>
      <c r="D22" s="11">
        <v>0</v>
      </c>
      <c r="E22" s="11" t="s">
        <v>40</v>
      </c>
      <c r="F22" s="11">
        <v>24</v>
      </c>
    </row>
    <row r="23" spans="1:6">
      <c r="A23" s="11" t="s">
        <v>117</v>
      </c>
      <c r="B23" s="11">
        <v>20014</v>
      </c>
      <c r="C23" s="11" t="s">
        <v>39</v>
      </c>
      <c r="D23" s="11">
        <v>0</v>
      </c>
      <c r="E23" s="11" t="s">
        <v>40</v>
      </c>
      <c r="F23" s="11">
        <v>24</v>
      </c>
    </row>
    <row r="24" spans="1:6">
      <c r="A24" s="11" t="s">
        <v>118</v>
      </c>
      <c r="B24" s="11">
        <v>20016</v>
      </c>
      <c r="C24" s="11" t="s">
        <v>39</v>
      </c>
      <c r="D24" s="11">
        <v>0</v>
      </c>
      <c r="E24" s="11" t="s">
        <v>40</v>
      </c>
      <c r="F24" s="11">
        <v>24</v>
      </c>
    </row>
    <row r="25" spans="1:6">
      <c r="A25" s="11" t="s">
        <v>119</v>
      </c>
      <c r="B25" s="11">
        <v>20018</v>
      </c>
      <c r="C25" s="11" t="s">
        <v>39</v>
      </c>
      <c r="D25" s="11">
        <v>0</v>
      </c>
      <c r="E25" s="11" t="s">
        <v>40</v>
      </c>
      <c r="F25" s="11">
        <v>24</v>
      </c>
    </row>
    <row r="26" spans="1:6">
      <c r="A26" s="11" t="s">
        <v>120</v>
      </c>
      <c r="B26" s="11">
        <v>20020</v>
      </c>
      <c r="C26" s="11" t="s">
        <v>39</v>
      </c>
      <c r="D26" s="11">
        <v>0</v>
      </c>
      <c r="E26" s="11" t="s">
        <v>40</v>
      </c>
      <c r="F26" s="11">
        <v>24</v>
      </c>
    </row>
    <row r="27" spans="1:6">
      <c r="A27" s="11" t="s">
        <v>121</v>
      </c>
      <c r="B27" s="11">
        <v>20022</v>
      </c>
      <c r="C27" s="11" t="s">
        <v>39</v>
      </c>
      <c r="D27" s="11">
        <v>0</v>
      </c>
      <c r="E27" s="11" t="s">
        <v>40</v>
      </c>
      <c r="F27" s="11">
        <v>24</v>
      </c>
    </row>
    <row r="28" spans="1:6">
      <c r="A28" s="11" t="s">
        <v>122</v>
      </c>
      <c r="B28" s="11">
        <v>20024</v>
      </c>
      <c r="C28" s="11" t="s">
        <v>39</v>
      </c>
      <c r="D28" s="11">
        <v>0</v>
      </c>
      <c r="E28" s="11" t="s">
        <v>40</v>
      </c>
      <c r="F28" s="11">
        <v>24</v>
      </c>
    </row>
    <row r="29" spans="1:6">
      <c r="A29" s="11" t="s">
        <v>123</v>
      </c>
      <c r="B29" s="11">
        <v>20026</v>
      </c>
      <c r="C29" s="11" t="s">
        <v>39</v>
      </c>
      <c r="D29" s="11">
        <v>0</v>
      </c>
      <c r="E29" s="11" t="s">
        <v>40</v>
      </c>
      <c r="F29" s="11">
        <v>24</v>
      </c>
    </row>
    <row r="30" spans="1:6">
      <c r="A30" s="11" t="s">
        <v>124</v>
      </c>
      <c r="B30" s="11">
        <v>20028</v>
      </c>
      <c r="C30" s="11" t="s">
        <v>39</v>
      </c>
      <c r="D30" s="11">
        <v>0</v>
      </c>
      <c r="E30" s="11" t="s">
        <v>40</v>
      </c>
      <c r="F30" s="11">
        <v>24</v>
      </c>
    </row>
    <row r="31" spans="1:6">
      <c r="A31" s="11" t="s">
        <v>125</v>
      </c>
      <c r="B31" s="11">
        <v>20030</v>
      </c>
      <c r="C31" s="11" t="s">
        <v>39</v>
      </c>
      <c r="D31" s="11">
        <v>0</v>
      </c>
      <c r="E31" s="11" t="s">
        <v>40</v>
      </c>
      <c r="F31" s="11">
        <v>24</v>
      </c>
    </row>
    <row r="32" spans="1:6">
      <c r="A32" s="11" t="s">
        <v>126</v>
      </c>
      <c r="B32" s="11">
        <v>20032</v>
      </c>
      <c r="C32" s="11" t="s">
        <v>39</v>
      </c>
      <c r="D32" s="11">
        <v>0</v>
      </c>
      <c r="E32" s="11" t="s">
        <v>40</v>
      </c>
      <c r="F32" s="11">
        <v>24</v>
      </c>
    </row>
    <row r="33" spans="1:6">
      <c r="A33" s="11" t="s">
        <v>127</v>
      </c>
      <c r="B33" s="11">
        <v>20034</v>
      </c>
      <c r="C33" s="11" t="s">
        <v>39</v>
      </c>
      <c r="D33" s="11">
        <v>0</v>
      </c>
      <c r="E33" s="11" t="s">
        <v>40</v>
      </c>
      <c r="F33" s="11">
        <v>24</v>
      </c>
    </row>
    <row r="34" spans="1:6">
      <c r="A34" s="11" t="s">
        <v>128</v>
      </c>
      <c r="B34" s="11">
        <v>20036</v>
      </c>
      <c r="C34" s="11" t="s">
        <v>39</v>
      </c>
      <c r="D34" s="11">
        <v>0</v>
      </c>
      <c r="E34" s="11" t="s">
        <v>40</v>
      </c>
      <c r="F34" s="11">
        <v>24</v>
      </c>
    </row>
    <row r="35" spans="1:6">
      <c r="A35" s="11" t="s">
        <v>129</v>
      </c>
      <c r="B35" s="11">
        <v>20038</v>
      </c>
      <c r="C35" s="11" t="s">
        <v>39</v>
      </c>
      <c r="D35" s="11">
        <v>0</v>
      </c>
      <c r="E35" s="11" t="s">
        <v>40</v>
      </c>
      <c r="F35" s="11">
        <v>24</v>
      </c>
    </row>
    <row r="36" spans="1:6">
      <c r="A36" s="11" t="s">
        <v>130</v>
      </c>
      <c r="B36" s="11">
        <v>20040</v>
      </c>
      <c r="C36" s="11" t="s">
        <v>39</v>
      </c>
      <c r="D36" s="11">
        <v>0</v>
      </c>
      <c r="E36" s="11" t="s">
        <v>40</v>
      </c>
      <c r="F36" s="11">
        <v>24</v>
      </c>
    </row>
    <row r="37" spans="1:6">
      <c r="A37" s="11" t="s">
        <v>131</v>
      </c>
      <c r="B37" s="11">
        <v>20042</v>
      </c>
      <c r="C37" s="11" t="s">
        <v>39</v>
      </c>
      <c r="D37" s="11">
        <v>0</v>
      </c>
      <c r="E37" s="11" t="s">
        <v>40</v>
      </c>
      <c r="F37" s="11">
        <v>24</v>
      </c>
    </row>
    <row r="38" spans="1:6">
      <c r="A38" s="11" t="s">
        <v>132</v>
      </c>
      <c r="B38" s="11">
        <v>20044</v>
      </c>
      <c r="C38" s="11" t="s">
        <v>39</v>
      </c>
      <c r="D38" s="11">
        <v>0</v>
      </c>
      <c r="E38" s="11" t="s">
        <v>40</v>
      </c>
      <c r="F38" s="11">
        <v>24</v>
      </c>
    </row>
    <row r="39" spans="1:6">
      <c r="A39" s="11" t="s">
        <v>133</v>
      </c>
      <c r="B39" s="11">
        <v>20046</v>
      </c>
      <c r="C39" s="11" t="s">
        <v>39</v>
      </c>
      <c r="D39" s="11">
        <v>0</v>
      </c>
      <c r="E39" s="11" t="s">
        <v>40</v>
      </c>
      <c r="F39" s="11">
        <v>24</v>
      </c>
    </row>
    <row r="40" spans="1:6">
      <c r="A40" s="11" t="s">
        <v>134</v>
      </c>
      <c r="B40" s="11">
        <v>20048</v>
      </c>
      <c r="C40" s="11" t="s">
        <v>39</v>
      </c>
      <c r="D40" s="11">
        <v>0</v>
      </c>
      <c r="E40" s="11" t="s">
        <v>40</v>
      </c>
      <c r="F40" s="11">
        <v>24</v>
      </c>
    </row>
    <row r="41" spans="1:6">
      <c r="A41" s="11" t="s">
        <v>135</v>
      </c>
      <c r="B41" s="11">
        <v>20050</v>
      </c>
      <c r="C41" s="11" t="s">
        <v>39</v>
      </c>
      <c r="D41" s="11">
        <v>0</v>
      </c>
      <c r="E41" s="11" t="s">
        <v>40</v>
      </c>
      <c r="F41" s="11">
        <v>24</v>
      </c>
    </row>
    <row r="42" spans="1:6">
      <c r="A42" s="11" t="s">
        <v>136</v>
      </c>
      <c r="B42" s="11">
        <v>20052</v>
      </c>
      <c r="C42" s="11" t="s">
        <v>39</v>
      </c>
      <c r="D42" s="11">
        <v>0</v>
      </c>
      <c r="E42" s="11" t="s">
        <v>40</v>
      </c>
      <c r="F42" s="11">
        <v>24</v>
      </c>
    </row>
    <row r="43" spans="1:6">
      <c r="A43" s="11" t="s">
        <v>137</v>
      </c>
      <c r="B43" s="11">
        <v>20054</v>
      </c>
      <c r="C43" s="11" t="s">
        <v>39</v>
      </c>
      <c r="D43" s="11">
        <v>0</v>
      </c>
      <c r="E43" s="11" t="s">
        <v>40</v>
      </c>
      <c r="F43" s="11">
        <v>24</v>
      </c>
    </row>
    <row r="44" spans="1:6">
      <c r="A44" s="11" t="s">
        <v>138</v>
      </c>
      <c r="B44" s="11">
        <v>20058</v>
      </c>
      <c r="C44" s="11" t="s">
        <v>39</v>
      </c>
      <c r="D44" s="11">
        <v>0</v>
      </c>
      <c r="E44" s="11" t="s">
        <v>40</v>
      </c>
      <c r="F44" s="11">
        <v>24</v>
      </c>
    </row>
    <row r="45" spans="1:6">
      <c r="A45" s="11" t="s">
        <v>139</v>
      </c>
      <c r="B45" s="11">
        <v>20060</v>
      </c>
      <c r="C45" s="11" t="s">
        <v>39</v>
      </c>
      <c r="D45" s="11">
        <v>0</v>
      </c>
      <c r="E45" s="11" t="s">
        <v>40</v>
      </c>
      <c r="F45" s="11">
        <v>24</v>
      </c>
    </row>
    <row r="46" spans="1:6">
      <c r="A46" s="11" t="s">
        <v>140</v>
      </c>
      <c r="B46" s="11">
        <v>21000</v>
      </c>
      <c r="C46" s="11" t="s">
        <v>39</v>
      </c>
      <c r="D46" s="11">
        <v>0</v>
      </c>
      <c r="E46" s="11" t="s">
        <v>40</v>
      </c>
      <c r="F46" s="11">
        <v>24</v>
      </c>
    </row>
    <row r="47" spans="1:6">
      <c r="A47" s="11" t="s">
        <v>141</v>
      </c>
      <c r="B47" s="11">
        <v>21002</v>
      </c>
      <c r="C47" s="11" t="s">
        <v>39</v>
      </c>
      <c r="D47" s="11">
        <v>0</v>
      </c>
      <c r="E47" s="11" t="s">
        <v>40</v>
      </c>
      <c r="F47" s="11">
        <v>24</v>
      </c>
    </row>
    <row r="48" spans="1:6">
      <c r="A48" s="11" t="s">
        <v>142</v>
      </c>
      <c r="B48" s="11">
        <v>21004</v>
      </c>
      <c r="C48" s="11" t="s">
        <v>39</v>
      </c>
      <c r="D48" s="11">
        <v>0</v>
      </c>
      <c r="E48" s="11" t="s">
        <v>40</v>
      </c>
      <c r="F48" s="11">
        <v>24</v>
      </c>
    </row>
    <row r="49" spans="1:6">
      <c r="A49" s="11" t="s">
        <v>143</v>
      </c>
      <c r="B49" s="11">
        <v>21006</v>
      </c>
      <c r="C49" s="11" t="s">
        <v>39</v>
      </c>
      <c r="D49" s="11">
        <v>0</v>
      </c>
      <c r="E49" s="11" t="s">
        <v>40</v>
      </c>
      <c r="F49" s="11">
        <v>24</v>
      </c>
    </row>
    <row r="50" spans="1:6">
      <c r="A50" s="11" t="s">
        <v>144</v>
      </c>
      <c r="B50" s="11">
        <v>21008</v>
      </c>
      <c r="C50" s="11" t="s">
        <v>39</v>
      </c>
      <c r="D50" s="11">
        <v>0</v>
      </c>
      <c r="E50" s="11" t="s">
        <v>40</v>
      </c>
      <c r="F50" s="11">
        <v>24</v>
      </c>
    </row>
    <row r="51" spans="1:6">
      <c r="A51" s="11" t="s">
        <v>145</v>
      </c>
      <c r="B51" s="11">
        <v>21010</v>
      </c>
      <c r="C51" s="11" t="s">
        <v>39</v>
      </c>
      <c r="D51" s="11">
        <v>0</v>
      </c>
      <c r="E51" s="11" t="s">
        <v>40</v>
      </c>
      <c r="F51" s="11">
        <v>24</v>
      </c>
    </row>
    <row r="52" spans="1:6">
      <c r="A52" s="11" t="s">
        <v>146</v>
      </c>
      <c r="B52" s="11">
        <v>21012</v>
      </c>
      <c r="C52" s="11" t="s">
        <v>39</v>
      </c>
      <c r="D52" s="11">
        <v>0</v>
      </c>
      <c r="E52" s="11" t="s">
        <v>40</v>
      </c>
      <c r="F52" s="11">
        <v>24</v>
      </c>
    </row>
    <row r="53" spans="1:6">
      <c r="A53" s="11" t="s">
        <v>147</v>
      </c>
      <c r="B53" s="11">
        <v>21014</v>
      </c>
      <c r="C53" s="11" t="s">
        <v>39</v>
      </c>
      <c r="D53" s="11">
        <v>0</v>
      </c>
      <c r="E53" s="11" t="s">
        <v>40</v>
      </c>
      <c r="F53" s="11">
        <v>24</v>
      </c>
    </row>
    <row r="54" spans="1:6">
      <c r="A54" s="11" t="s">
        <v>148</v>
      </c>
      <c r="B54" s="11">
        <v>21016</v>
      </c>
      <c r="C54" s="11" t="s">
        <v>39</v>
      </c>
      <c r="D54" s="11">
        <v>0</v>
      </c>
      <c r="E54" s="11" t="s">
        <v>40</v>
      </c>
      <c r="F54" s="11">
        <v>24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22"/>
  <sheetViews>
    <sheetView topLeftCell="A6" workbookViewId="0">
      <selection activeCell="C8" sqref="C8"/>
    </sheetView>
  </sheetViews>
  <sheetFormatPr defaultColWidth="11" defaultRowHeight="12.4" outlineLevelCol="3"/>
  <cols>
    <col min="1" max="1" width="28.2019230769231" style="1" customWidth="1"/>
    <col min="2" max="2" width="17.7980769230769" style="1" customWidth="1"/>
    <col min="3" max="3" width="11" style="1" customWidth="1"/>
    <col min="4" max="4" width="13.2019230769231" style="1" customWidth="1"/>
    <col min="5" max="5" width="10.7980769230769" style="1" customWidth="1"/>
    <col min="6" max="6" width="13.3942307692308" style="1" customWidth="1"/>
    <col min="7" max="8" width="14.5961538461538" style="1" customWidth="1"/>
    <col min="9" max="9" width="17.7980769230769" style="1" customWidth="1"/>
    <col min="10" max="10" width="11" style="1" customWidth="1"/>
    <col min="11" max="11" width="9" style="1" customWidth="1"/>
    <col min="12" max="12" width="10.7980769230769" style="1" customWidth="1"/>
    <col min="13" max="13" width="12.3942307692308" style="1" customWidth="1"/>
    <col min="14" max="14" width="11" style="1" customWidth="1"/>
    <col min="15" max="15" width="8" style="1" customWidth="1"/>
    <col min="16" max="16" width="12.3942307692308" style="1" customWidth="1"/>
    <col min="17" max="17" width="12.5961538461538" style="1" customWidth="1"/>
    <col min="18" max="18" width="24.2019230769231" style="1" customWidth="1"/>
    <col min="19" max="19" width="12.5961538461538" style="1" customWidth="1"/>
    <col min="20" max="20" width="16" style="1" customWidth="1"/>
    <col min="21" max="21" width="9" style="1" customWidth="1"/>
    <col min="22" max="22" width="10.7980769230769" style="1" customWidth="1"/>
    <col min="23" max="24" width="13.3942307692308" style="1" customWidth="1"/>
    <col min="25" max="25" width="15" style="1" customWidth="1"/>
    <col min="26" max="16384" width="11" style="1"/>
  </cols>
  <sheetData>
    <row r="1" ht="20" spans="1:2">
      <c r="A1" s="2" t="s">
        <v>11</v>
      </c>
      <c r="B1" s="3" t="s">
        <v>149</v>
      </c>
    </row>
    <row r="2" ht="16.8" spans="2:2">
      <c r="B2" s="18" t="s">
        <v>150</v>
      </c>
    </row>
    <row r="5" ht="14" spans="2:2">
      <c r="B5" s="4" t="s">
        <v>97</v>
      </c>
    </row>
    <row r="6" ht="50" spans="1:4">
      <c r="A6" s="6" t="s">
        <v>98</v>
      </c>
      <c r="B6" s="4"/>
      <c r="C6" s="19" t="s">
        <v>151</v>
      </c>
      <c r="D6" s="1" t="s">
        <v>152</v>
      </c>
    </row>
    <row r="7" ht="14" spans="1:3">
      <c r="A7" s="6" t="s">
        <v>100</v>
      </c>
      <c r="B7" s="4"/>
      <c r="C7" s="1" t="s">
        <v>153</v>
      </c>
    </row>
    <row r="10" ht="22.4" spans="1:1">
      <c r="A10" s="7" t="s">
        <v>92</v>
      </c>
    </row>
    <row r="11" ht="14" spans="1:3">
      <c r="A11" s="20" t="s">
        <v>154</v>
      </c>
      <c r="B11" s="11" t="s">
        <v>155</v>
      </c>
      <c r="C11" s="11" t="s">
        <v>156</v>
      </c>
    </row>
    <row r="12" ht="14" spans="1:4">
      <c r="A12" s="20">
        <v>44927</v>
      </c>
      <c r="B12" s="11" t="s">
        <v>157</v>
      </c>
      <c r="C12" s="11">
        <v>200</v>
      </c>
      <c r="D12" s="19"/>
    </row>
    <row r="13" ht="14" spans="1:3">
      <c r="A13" s="20">
        <v>44928</v>
      </c>
      <c r="B13" s="11" t="s">
        <v>158</v>
      </c>
      <c r="C13" s="11">
        <f>SUM(IFERROR(A13:B100,20))</f>
        <v>20</v>
      </c>
    </row>
    <row r="14" ht="14" spans="1:3">
      <c r="A14" s="20">
        <v>44929</v>
      </c>
      <c r="B14" s="11" t="s">
        <v>159</v>
      </c>
      <c r="C14" s="11">
        <v>50</v>
      </c>
    </row>
    <row r="15" ht="14" spans="1:3">
      <c r="A15" s="20">
        <v>44930</v>
      </c>
      <c r="B15" s="11" t="s">
        <v>160</v>
      </c>
      <c r="C15" s="21">
        <f ca="1">SUM(IFERROR(A15:A,20))</f>
        <v>20</v>
      </c>
    </row>
    <row r="16" ht="14" spans="1:3">
      <c r="A16" s="20">
        <v>44931</v>
      </c>
      <c r="B16" s="11" t="s">
        <v>161</v>
      </c>
      <c r="C16" s="11">
        <v>10</v>
      </c>
    </row>
    <row r="17" ht="14" spans="1:3">
      <c r="A17" s="20">
        <v>44932</v>
      </c>
      <c r="B17" s="11" t="s">
        <v>162</v>
      </c>
      <c r="C17" s="11">
        <v>150</v>
      </c>
    </row>
    <row r="18" ht="14" spans="1:3">
      <c r="A18" s="20">
        <v>44933</v>
      </c>
      <c r="B18" s="11" t="s">
        <v>163</v>
      </c>
      <c r="C18" s="11">
        <v>80</v>
      </c>
    </row>
    <row r="19" ht="14" spans="1:3">
      <c r="A19" s="20">
        <v>44934</v>
      </c>
      <c r="B19" s="11" t="s">
        <v>164</v>
      </c>
      <c r="C19" s="21">
        <f>SUM(IFERROR(A19:B19,20))</f>
        <v>20</v>
      </c>
    </row>
    <row r="20" ht="14" spans="1:3">
      <c r="A20" s="20">
        <v>44935</v>
      </c>
      <c r="B20" s="11" t="s">
        <v>165</v>
      </c>
      <c r="C20" s="11">
        <v>30</v>
      </c>
    </row>
    <row r="21" ht="14" spans="1:3">
      <c r="A21" s="20">
        <v>44936</v>
      </c>
      <c r="B21" s="11" t="s">
        <v>166</v>
      </c>
      <c r="C21" s="21">
        <f>SUM(IFERROR(A21:B21,20))</f>
        <v>20</v>
      </c>
    </row>
    <row r="22" ht="14" spans="2:3">
      <c r="B22" s="11" t="s">
        <v>167</v>
      </c>
      <c r="C22" s="22">
        <f ca="1">SUM(C12:C21)</f>
        <v>600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tabSelected="1" topLeftCell="A3" workbookViewId="0">
      <selection activeCell="F29" sqref="F29"/>
    </sheetView>
  </sheetViews>
  <sheetFormatPr defaultColWidth="11" defaultRowHeight="12.4"/>
  <cols>
    <col min="1" max="1" width="28.2019230769231" style="1" customWidth="1"/>
    <col min="2" max="16384" width="11" style="1"/>
  </cols>
  <sheetData>
    <row r="1" ht="20" spans="1:2">
      <c r="A1" s="2" t="s">
        <v>12</v>
      </c>
      <c r="B1" s="3" t="s">
        <v>168</v>
      </c>
    </row>
    <row r="3" ht="14" spans="2:2">
      <c r="B3" s="4" t="s">
        <v>97</v>
      </c>
    </row>
    <row r="4" ht="17.6" spans="1:2">
      <c r="A4" s="5" t="s">
        <v>98</v>
      </c>
      <c r="B4" s="4"/>
    </row>
    <row r="5" ht="17.6" spans="1:2">
      <c r="A5" s="5" t="s">
        <v>100</v>
      </c>
      <c r="B5" s="4"/>
    </row>
    <row r="6" ht="14" spans="1:2">
      <c r="A6" s="6"/>
      <c r="B6" s="4"/>
    </row>
    <row r="8" ht="22.4" spans="1:13">
      <c r="A8" s="7" t="s">
        <v>92</v>
      </c>
      <c r="M8" s="7" t="s">
        <v>169</v>
      </c>
    </row>
    <row r="9" ht="14" spans="1:14">
      <c r="A9" s="8"/>
      <c r="B9" s="8" t="s">
        <v>170</v>
      </c>
      <c r="C9" s="8" t="s">
        <v>171</v>
      </c>
      <c r="D9" s="8" t="s">
        <v>172</v>
      </c>
      <c r="E9" s="8" t="s">
        <v>173</v>
      </c>
      <c r="F9" s="8" t="s">
        <v>174</v>
      </c>
      <c r="G9" s="8" t="s">
        <v>175</v>
      </c>
      <c r="H9" s="8" t="s">
        <v>176</v>
      </c>
      <c r="I9" s="8" t="s">
        <v>177</v>
      </c>
      <c r="J9" s="8" t="s">
        <v>178</v>
      </c>
      <c r="M9" s="17" t="s">
        <v>15</v>
      </c>
      <c r="N9" s="17" t="s">
        <v>179</v>
      </c>
    </row>
    <row r="10" ht="14" spans="1:14">
      <c r="A10" s="8" t="s">
        <v>170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K10" s="1">
        <f>SUM(B10:J10,B11:J11)</f>
        <v>3956</v>
      </c>
      <c r="M10" s="14">
        <v>10100</v>
      </c>
      <c r="N10" s="14" t="s">
        <v>170</v>
      </c>
    </row>
    <row r="11" ht="14" spans="1:14">
      <c r="A11" s="8" t="s">
        <v>171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171</v>
      </c>
    </row>
    <row r="12" ht="14" spans="1:14">
      <c r="A12" s="8" t="s">
        <v>172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172</v>
      </c>
    </row>
    <row r="13" ht="14" spans="1:14">
      <c r="A13" s="8" t="s">
        <v>173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173</v>
      </c>
    </row>
    <row r="14" ht="14" spans="1:14">
      <c r="A14" s="8" t="s">
        <v>174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174</v>
      </c>
    </row>
    <row r="15" ht="14" spans="1:14">
      <c r="A15" s="8" t="s">
        <v>175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175</v>
      </c>
    </row>
    <row r="16" ht="14" spans="1:14">
      <c r="A16" s="8" t="s">
        <v>176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176</v>
      </c>
    </row>
    <row r="17" ht="14" spans="1:14">
      <c r="A17" s="8" t="s">
        <v>177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177</v>
      </c>
    </row>
    <row r="18" ht="14" spans="1:14">
      <c r="A18" s="8" t="s">
        <v>178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6">
        <v>10116</v>
      </c>
      <c r="N18" s="16" t="s">
        <v>178</v>
      </c>
    </row>
    <row r="21" ht="22.4" spans="1:1">
      <c r="A21" s="7" t="s">
        <v>180</v>
      </c>
    </row>
    <row r="22" ht="14" spans="1:3">
      <c r="A22" s="10" t="s">
        <v>181</v>
      </c>
      <c r="B22" s="11" t="s">
        <v>182</v>
      </c>
      <c r="C22" s="12" t="s">
        <v>103</v>
      </c>
    </row>
    <row r="23" ht="14" spans="1:3">
      <c r="A23" s="13">
        <v>10100</v>
      </c>
      <c r="B23" s="14">
        <v>10102</v>
      </c>
      <c r="C23" s="1">
        <f>SUM(B10:J10,B11:J11)</f>
        <v>3956</v>
      </c>
    </row>
    <row r="24" ht="14" spans="1:3">
      <c r="A24" s="13">
        <v>10100</v>
      </c>
      <c r="B24" s="14">
        <v>10104</v>
      </c>
      <c r="C24" s="1">
        <f t="shared" ref="C24:C35" si="0">SUM(B11:J11,B12:J12)</f>
        <v>3115</v>
      </c>
    </row>
    <row r="25" ht="14" spans="1:3">
      <c r="A25" s="13">
        <v>10108</v>
      </c>
      <c r="B25" s="14">
        <v>10102</v>
      </c>
      <c r="C25" s="1">
        <f t="shared" si="0"/>
        <v>2816</v>
      </c>
    </row>
    <row r="26" ht="14" spans="1:3">
      <c r="A26" s="13">
        <v>10100</v>
      </c>
      <c r="B26" s="14">
        <v>10106</v>
      </c>
      <c r="C26" s="1">
        <f t="shared" si="0"/>
        <v>2728</v>
      </c>
    </row>
    <row r="27" ht="14" spans="1:3">
      <c r="A27" s="13">
        <v>10108</v>
      </c>
      <c r="B27" s="14">
        <v>10110</v>
      </c>
      <c r="C27" s="1">
        <f t="shared" si="0"/>
        <v>2708</v>
      </c>
    </row>
    <row r="28" ht="14" spans="1:3">
      <c r="A28" s="13">
        <v>10102</v>
      </c>
      <c r="B28" s="14">
        <v>10104</v>
      </c>
      <c r="C28" s="1">
        <f t="shared" si="0"/>
        <v>3098</v>
      </c>
    </row>
    <row r="29" ht="14" spans="1:3">
      <c r="A29" s="13">
        <v>10106</v>
      </c>
      <c r="B29" s="14">
        <v>10108</v>
      </c>
      <c r="C29" s="1">
        <f t="shared" si="0"/>
        <v>3758</v>
      </c>
    </row>
    <row r="30" ht="14" spans="1:3">
      <c r="A30" s="13">
        <v>10102</v>
      </c>
      <c r="B30" s="14">
        <v>10106</v>
      </c>
      <c r="C30" s="1">
        <f t="shared" si="0"/>
        <v>4368</v>
      </c>
    </row>
    <row r="31" ht="14" spans="1:3">
      <c r="A31" s="13">
        <v>10110</v>
      </c>
      <c r="B31" s="14">
        <v>10114</v>
      </c>
      <c r="C31" s="1">
        <f t="shared" si="0"/>
        <v>2329</v>
      </c>
    </row>
    <row r="32" ht="14" spans="1:3">
      <c r="A32" s="13">
        <v>10104</v>
      </c>
      <c r="B32" s="14">
        <v>10106</v>
      </c>
      <c r="C32" s="1">
        <f t="shared" si="0"/>
        <v>0</v>
      </c>
    </row>
    <row r="33" ht="14" spans="1:3">
      <c r="A33" s="13">
        <v>10110</v>
      </c>
      <c r="B33" s="14">
        <v>10112</v>
      </c>
      <c r="C33" s="1">
        <f t="shared" si="0"/>
        <v>0</v>
      </c>
    </row>
    <row r="34" ht="14" spans="1:3">
      <c r="A34" s="13">
        <v>10100</v>
      </c>
      <c r="B34" s="14">
        <v>10114</v>
      </c>
      <c r="C34" s="1">
        <f t="shared" si="0"/>
        <v>0</v>
      </c>
    </row>
    <row r="35" ht="14" spans="1:3">
      <c r="A35" s="15">
        <v>10112</v>
      </c>
      <c r="B35" s="16">
        <v>10116</v>
      </c>
      <c r="C35" s="1">
        <f t="shared" si="0"/>
        <v>14058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Azeem</cp:lastModifiedBy>
  <dcterms:created xsi:type="dcterms:W3CDTF">2015-02-10T23:03:00Z</dcterms:created>
  <dcterms:modified xsi:type="dcterms:W3CDTF">2023-12-10T23:31:44Z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1033-5.6.0.8082</vt:lpwstr>
  </property>
</Properties>
</file>